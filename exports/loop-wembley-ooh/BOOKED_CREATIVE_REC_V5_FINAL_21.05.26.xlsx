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yss\Manifold Delta\Artifacts\11_Heimdall\exports\loop-wembley-ooh\"/>
    </mc:Choice>
  </mc:AlternateContent>
  <xr:revisionPtr revIDLastSave="0" documentId="8_{EEA48DA4-67C5-4641-9DDB-D0ED8FEAD0A8}" xr6:coauthVersionLast="47" xr6:coauthVersionMax="47" xr10:uidLastSave="{00000000-0000-0000-0000-000000000000}"/>
  <bookViews>
    <workbookView xWindow="27660" yWindow="3195" windowWidth="37575" windowHeight="15660" tabRatio="354" firstSheet="3" activeTab="3" xr2:uid="{63F317F1-53D4-FA49-BE60-68A3750CE859}"/>
  </bookViews>
  <sheets>
    <sheet name="Media Plan" sheetId="4" r:id="rId1"/>
    <sheet name="Specs" sheetId="5" r:id="rId2"/>
    <sheet name="BOOKED - LU 48s Site List" sheetId="3" r:id="rId3"/>
    <sheet name="RECOMMENDED CREATIVE PLACEMENT" sheetId="8" r:id="rId4"/>
  </sheets>
  <externalReferences>
    <externalReference r:id="rId5"/>
  </externalReferences>
  <definedNames>
    <definedName name="_xlnm._FilterDatabase" localSheetId="3" hidden="1">'RECOMMENDED CREATIVE PLACEMENT'!$A$1:$G$41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8" l="1" a="1"/>
  <c r="E2" i="8" s="1"/>
  <c r="E3" i="8" a="1"/>
  <c r="E3" i="8" s="1"/>
  <c r="E4" i="8" a="1"/>
  <c r="E4" i="8"/>
  <c r="E5" i="8" a="1"/>
  <c r="E5" i="8"/>
  <c r="E6" i="8" a="1"/>
  <c r="E6" i="8"/>
  <c r="E7" i="8" a="1"/>
  <c r="E7" i="8"/>
  <c r="E8" i="8" a="1"/>
  <c r="E8" i="8" s="1"/>
  <c r="E9" i="8" a="1"/>
  <c r="E9" i="8" s="1"/>
  <c r="E10" i="8" a="1"/>
  <c r="E10" i="8" s="1"/>
  <c r="E11" i="8" a="1"/>
  <c r="E11" i="8"/>
  <c r="E12" i="8" a="1"/>
  <c r="E12" i="8"/>
  <c r="E13" i="8" a="1"/>
  <c r="E13" i="8"/>
  <c r="E14" i="8" a="1"/>
  <c r="E14" i="8"/>
  <c r="E15" i="8" a="1"/>
  <c r="E15" i="8" s="1"/>
  <c r="E16" i="8" a="1"/>
  <c r="E16" i="8" s="1"/>
  <c r="E17" i="8" a="1"/>
  <c r="E17" i="8" s="1"/>
  <c r="E18" i="8" a="1"/>
  <c r="E18" i="8"/>
  <c r="E19" i="8" a="1"/>
  <c r="E19" i="8"/>
  <c r="E20" i="8" a="1"/>
  <c r="E20" i="8"/>
  <c r="E21" i="8" a="1"/>
  <c r="E21" i="8" s="1"/>
  <c r="E22" i="8" a="1"/>
  <c r="E22" i="8"/>
  <c r="E23" i="8" a="1"/>
  <c r="E23" i="8" s="1"/>
  <c r="E24" i="8" a="1"/>
  <c r="E24" i="8" s="1"/>
  <c r="E25" i="8" a="1"/>
  <c r="E25" i="8"/>
  <c r="E26" i="8" a="1"/>
  <c r="E26" i="8"/>
  <c r="E27" i="8" a="1"/>
  <c r="E27" i="8" s="1"/>
  <c r="E28" i="8" a="1"/>
  <c r="E28" i="8" s="1"/>
  <c r="E29" i="8" a="1"/>
  <c r="E29" i="8" s="1"/>
  <c r="E30" i="8" a="1"/>
  <c r="E30" i="8" s="1"/>
  <c r="E31" i="8" a="1"/>
  <c r="E31" i="8" s="1"/>
  <c r="E32" i="8" a="1"/>
  <c r="E32" i="8"/>
  <c r="E33" i="8" a="1"/>
  <c r="E33" i="8"/>
  <c r="E34" i="8" a="1"/>
  <c r="E34" i="8"/>
  <c r="E35" i="8" a="1"/>
  <c r="E35" i="8" s="1"/>
  <c r="E36" i="8" a="1"/>
  <c r="E36" i="8"/>
  <c r="E37" i="8" a="1"/>
  <c r="E37" i="8" s="1"/>
  <c r="E38" i="8" a="1"/>
  <c r="E38" i="8" s="1"/>
  <c r="E39" i="8" a="1"/>
  <c r="E39" i="8" s="1"/>
  <c r="E40" i="8" a="1"/>
  <c r="E40" i="8"/>
  <c r="BA20" i="4"/>
  <c r="BB25" i="4" s="1"/>
  <c r="AW20" i="4"/>
  <c r="BB22" i="4" s="1"/>
  <c r="AX19" i="4"/>
  <c r="AX20" i="4" s="1"/>
  <c r="BB23" i="4" s="1"/>
  <c r="BB26" i="4" l="1"/>
  <c r="BB24" i="4"/>
  <c r="AY19" i="4"/>
  <c r="AY20" i="4" s="1"/>
  <c r="AZ19" i="4"/>
  <c r="AZ20" i="4" s="1"/>
  <c r="BB27" i="4" l="1"/>
  <c r="C14" i="4" s="1"/>
  <c r="BB19" i="4"/>
  <c r="BB2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<sst xmlns="http://schemas.openxmlformats.org/spreadsheetml/2006/main" count="855" uniqueCount="296">
  <si>
    <t>Campaign Details</t>
  </si>
  <si>
    <t xml:space="preserve"> </t>
  </si>
  <si>
    <t>Agency</t>
  </si>
  <si>
    <t>MGOMD</t>
  </si>
  <si>
    <t>Client</t>
  </si>
  <si>
    <t>Loop</t>
  </si>
  <si>
    <t>Brand</t>
  </si>
  <si>
    <t>STATUS</t>
  </si>
  <si>
    <t>Campaign</t>
  </si>
  <si>
    <t>Harry Styles Wembley</t>
  </si>
  <si>
    <t>Planned</t>
  </si>
  <si>
    <t>Campaign Dates</t>
  </si>
  <si>
    <t>12th June - 12th July</t>
  </si>
  <si>
    <t>Optioned</t>
  </si>
  <si>
    <t>Total Budget</t>
  </si>
  <si>
    <t>Booked</t>
  </si>
  <si>
    <t>Planned Budget</t>
  </si>
  <si>
    <t>OOH Media</t>
  </si>
  <si>
    <t>Format Information</t>
  </si>
  <si>
    <t>JUNE</t>
  </si>
  <si>
    <t>JULY</t>
  </si>
  <si>
    <t>Campaign Costs</t>
  </si>
  <si>
    <t>Additional Information</t>
  </si>
  <si>
    <t>Distribution</t>
  </si>
  <si>
    <t>Environment</t>
  </si>
  <si>
    <t>Format</t>
  </si>
  <si>
    <t>Media Owner</t>
  </si>
  <si>
    <t>Motion / Static</t>
  </si>
  <si>
    <t>Orientation</t>
  </si>
  <si>
    <t>Panel Numbers</t>
  </si>
  <si>
    <t>Day Part</t>
  </si>
  <si>
    <t>Spot Length</t>
  </si>
  <si>
    <t>Average SOT (%)</t>
  </si>
  <si>
    <t>Live Dates</t>
  </si>
  <si>
    <t>Artwork Delivery Deadline</t>
  </si>
  <si>
    <t>Mon</t>
  </si>
  <si>
    <t>Tue</t>
  </si>
  <si>
    <t>Wed</t>
  </si>
  <si>
    <t>Thu</t>
  </si>
  <si>
    <t>Fri</t>
  </si>
  <si>
    <t>Sat</t>
  </si>
  <si>
    <t>Sun</t>
  </si>
  <si>
    <t>Media £ (Gross)</t>
  </si>
  <si>
    <t>Media £ (Net)</t>
  </si>
  <si>
    <t>Agency Commission</t>
  </si>
  <si>
    <t>ASBOF</t>
  </si>
  <si>
    <t>Production £ (Net)</t>
  </si>
  <si>
    <t>Cost to Client</t>
  </si>
  <si>
    <t xml:space="preserve">Artwork Delivery </t>
  </si>
  <si>
    <t xml:space="preserve">Specs </t>
  </si>
  <si>
    <t>8</t>
  </si>
  <si>
    <t>9</t>
  </si>
  <si>
    <t>10</t>
  </si>
  <si>
    <t>London - indexed to key commuter stations to Wembley</t>
  </si>
  <si>
    <t>LUG</t>
  </si>
  <si>
    <t>48s</t>
  </si>
  <si>
    <t>Global</t>
  </si>
  <si>
    <t>Static / Printed</t>
  </si>
  <si>
    <t>Landscape</t>
  </si>
  <si>
    <t>Network</t>
  </si>
  <si>
    <t>N/A</t>
  </si>
  <si>
    <t xml:space="preserve">15th June - 12th July </t>
  </si>
  <si>
    <t>midday 22nd May</t>
  </si>
  <si>
    <t xml:space="preserve">25th May </t>
  </si>
  <si>
    <t>Robbie.Gardner@smpgroup.co.uk</t>
  </si>
  <si>
    <t>https://global.com/wp-content/uploads/2020/10/48-Sheets-Across-Track.pdf</t>
  </si>
  <si>
    <t>All inventory is subject to availability at time of optioning/booking</t>
  </si>
  <si>
    <t>Audience delivery based on sample site list</t>
  </si>
  <si>
    <t>Route V50</t>
  </si>
  <si>
    <t>TOTAL MEDIA GROSS</t>
  </si>
  <si>
    <t>DOOH is bought on a CPT impact basis</t>
  </si>
  <si>
    <t xml:space="preserve">TOTAL MEDIA NET </t>
  </si>
  <si>
    <t>TOTAL ASBOF</t>
  </si>
  <si>
    <t xml:space="preserve">BOOKED - Map of LU 48s </t>
  </si>
  <si>
    <t>TOTAL FIXED COSTS</t>
  </si>
  <si>
    <t>https://plato.talonoutdoor.com/mapportal/710576af-6124-45f2-a00e-78374c71b584</t>
  </si>
  <si>
    <t>AGENCY COMMISSION</t>
  </si>
  <si>
    <t>TOTAL CTC</t>
  </si>
  <si>
    <t>Order Line Name</t>
  </si>
  <si>
    <t>Location Description</t>
  </si>
  <si>
    <t>Town</t>
  </si>
  <si>
    <t>Site</t>
  </si>
  <si>
    <t>Panel</t>
  </si>
  <si>
    <t>Subsite</t>
  </si>
  <si>
    <t>Start</t>
  </si>
  <si>
    <t>Finish</t>
  </si>
  <si>
    <t>Frame/Depot ID</t>
  </si>
  <si>
    <t>Postcode</t>
  </si>
  <si>
    <t>Region</t>
  </si>
  <si>
    <t>Latitude</t>
  </si>
  <si>
    <t>Longitude</t>
  </si>
  <si>
    <t>Station</t>
  </si>
  <si>
    <t>Quantity</t>
  </si>
  <si>
    <t>Days Booked</t>
  </si>
  <si>
    <t>Status</t>
  </si>
  <si>
    <t>25.06 - GD LU 48 (20)</t>
  </si>
  <si>
    <t>PLATFORM 2 NORTHERN LINE SOUTHBOUND</t>
  </si>
  <si>
    <t>Merton Area</t>
  </si>
  <si>
    <t>SWI-X02-017</t>
  </si>
  <si>
    <t>01</t>
  </si>
  <si>
    <t>48 Sheet</t>
  </si>
  <si>
    <t>DRY PERFORMANCE</t>
  </si>
  <si>
    <t>1234568488</t>
  </si>
  <si>
    <t>SW19 1DE</t>
  </si>
  <si>
    <t>London</t>
  </si>
  <si>
    <t>Underground</t>
  </si>
  <si>
    <t>SOUTH WIMBLEDON</t>
  </si>
  <si>
    <t>28</t>
  </si>
  <si>
    <t xml:space="preserve">BOOKED </t>
  </si>
  <si>
    <t>NORTHERN LINE PLATFORM 2 SOUTHBOUND</t>
  </si>
  <si>
    <t>Wandsworth Area</t>
  </si>
  <si>
    <t>TBY-X02-013</t>
  </si>
  <si>
    <t>1234569067</t>
  </si>
  <si>
    <t>SW17 0SU</t>
  </si>
  <si>
    <t>TOOTING BROADWAY</t>
  </si>
  <si>
    <t>PICCADILLY LINE PLATFORM 2 WESTBOUND</t>
  </si>
  <si>
    <t>Westminster Area</t>
  </si>
  <si>
    <t>HPC-X02-015</t>
  </si>
  <si>
    <t>1234587817</t>
  </si>
  <si>
    <t>SW1X 7LY</t>
  </si>
  <si>
    <t>HYDE PARK CORNER</t>
  </si>
  <si>
    <t>PICCADILLY LINE PLATFORM 2 SOUTHBOUND</t>
  </si>
  <si>
    <t>Harringey Area</t>
  </si>
  <si>
    <t>WGR-X02-001</t>
  </si>
  <si>
    <t>1234600409</t>
  </si>
  <si>
    <t>N22 8HH</t>
  </si>
  <si>
    <t>WOOD GREEN</t>
  </si>
  <si>
    <t>BAKERLOO LINE PLATFORM 1 NORTHBOUND</t>
  </si>
  <si>
    <t>REG-X01-021</t>
  </si>
  <si>
    <t>1234568346</t>
  </si>
  <si>
    <t>W1B 1PG</t>
  </si>
  <si>
    <t>REGENTS PARK</t>
  </si>
  <si>
    <t>Lambeth Area</t>
  </si>
  <si>
    <t>NIE-X02-004</t>
  </si>
  <si>
    <t>2000202916</t>
  </si>
  <si>
    <t>SW8 4SR</t>
  </si>
  <si>
    <t>NINE ELMS</t>
  </si>
  <si>
    <t>JUBILEE LINE PLATFORM 1 NORTHBOUND</t>
  </si>
  <si>
    <t>Brent Area</t>
  </si>
  <si>
    <t>KIB-X01-004</t>
  </si>
  <si>
    <t>WET PERFORMANCE</t>
  </si>
  <si>
    <t>1234595301</t>
  </si>
  <si>
    <t>NW6 7QL</t>
  </si>
  <si>
    <t>KILBURN</t>
  </si>
  <si>
    <t>NORTHERN LINE PLATFORM 1 NORTHBOUND</t>
  </si>
  <si>
    <t>OVL-X01-022</t>
  </si>
  <si>
    <t>1234574586</t>
  </si>
  <si>
    <t>SE11 4PP</t>
  </si>
  <si>
    <t>OVAL</t>
  </si>
  <si>
    <t>Camden Area</t>
  </si>
  <si>
    <t>RUS-X02-020</t>
  </si>
  <si>
    <t>1234601019</t>
  </si>
  <si>
    <t>WC1N 1LG</t>
  </si>
  <si>
    <t>RUSSELL SQUARE</t>
  </si>
  <si>
    <t>PICCADILLY LINE PLATFORM 1 NORTHBOUND</t>
  </si>
  <si>
    <t>Enfield Area</t>
  </si>
  <si>
    <t>SGA-X01-001</t>
  </si>
  <si>
    <t>1234572113</t>
  </si>
  <si>
    <t>N14 5BH</t>
  </si>
  <si>
    <t>SOUTHGATE</t>
  </si>
  <si>
    <t>VICTORIA LINE PLATFORM 4 SOUTHBOUND</t>
  </si>
  <si>
    <t>STO-X04-036</t>
  </si>
  <si>
    <t>1234597806</t>
  </si>
  <si>
    <t>SW9 9AE</t>
  </si>
  <si>
    <t>STOCKWELL</t>
  </si>
  <si>
    <t>TBC-X01-023</t>
  </si>
  <si>
    <t>1234568933</t>
  </si>
  <si>
    <t>SW17 9AH</t>
  </si>
  <si>
    <t>TOOTING BEC</t>
  </si>
  <si>
    <t>VICTORIA LINE PLATFORM 2 SOUTHBOUND</t>
  </si>
  <si>
    <t>TOH-X02-045</t>
  </si>
  <si>
    <t>1234583810</t>
  </si>
  <si>
    <t>N17 9LR</t>
  </si>
  <si>
    <t>TOTTENHAM HALE</t>
  </si>
  <si>
    <t>JUBILEE LINE PLATFORM 2 EASTBOUND</t>
  </si>
  <si>
    <t>Southwark Area</t>
  </si>
  <si>
    <t>SWK-X02-007</t>
  </si>
  <si>
    <t>1234575760</t>
  </si>
  <si>
    <t>SE1 8NW</t>
  </si>
  <si>
    <t>SOUTHWARK</t>
  </si>
  <si>
    <t>DOCKLANDS RAILWAY PLATFORM 1 SOUTHBOUND</t>
  </si>
  <si>
    <t>Tower Hamlets Area</t>
  </si>
  <si>
    <t>ISL-X01-007</t>
  </si>
  <si>
    <t>1234602396</t>
  </si>
  <si>
    <t>E14 3DN</t>
  </si>
  <si>
    <t>ISLAND GARDENS</t>
  </si>
  <si>
    <t>HAP-X02-008</t>
  </si>
  <si>
    <t>1234599926</t>
  </si>
  <si>
    <t>NW3 1QG</t>
  </si>
  <si>
    <t>HAMPSTEAD</t>
  </si>
  <si>
    <t>COW-X01-001</t>
  </si>
  <si>
    <t>1234568710</t>
  </si>
  <si>
    <t>SW19 2HR</t>
  </si>
  <si>
    <t>COLLIERS WOOD</t>
  </si>
  <si>
    <t>CENTRAL LINE PLATFORM 2 EASTBOUND</t>
  </si>
  <si>
    <t>City Of London</t>
  </si>
  <si>
    <t>STP-X02-038</t>
  </si>
  <si>
    <t>1234590601</t>
  </si>
  <si>
    <t>EC2V 6AA</t>
  </si>
  <si>
    <t>ST PAULS</t>
  </si>
  <si>
    <t>Islington Area</t>
  </si>
  <si>
    <t>TUF-X01-018</t>
  </si>
  <si>
    <t>1234568811</t>
  </si>
  <si>
    <t>N19 5BQ</t>
  </si>
  <si>
    <t>TUFNELL PARK</t>
  </si>
  <si>
    <t>NORTHERN LINE PLATFORM 1 NORTHBOUND (CHARING X BRANCH)</t>
  </si>
  <si>
    <t>KNN-X01-017</t>
  </si>
  <si>
    <t>1234588637</t>
  </si>
  <si>
    <t>SE17 3RD</t>
  </si>
  <si>
    <t>KENNINGTON</t>
  </si>
  <si>
    <t>METROPOLITAN LINE PLATFORM 2 EASTBOUND</t>
  </si>
  <si>
    <t>Hillingdon Area</t>
  </si>
  <si>
    <t>ECO-P02-006</t>
  </si>
  <si>
    <t>1234589177</t>
  </si>
  <si>
    <t>HA5 1QZ</t>
  </si>
  <si>
    <t>EASTCOTE</t>
  </si>
  <si>
    <t>CLN-X02-006</t>
  </si>
  <si>
    <t>1234588929</t>
  </si>
  <si>
    <t>SW4 7TS</t>
  </si>
  <si>
    <t>CLAPHAM NORTH</t>
  </si>
  <si>
    <t>15.06 - Selective Platinum LU 48s (7)</t>
  </si>
  <si>
    <t>JUBILEE LINE PLATFORM 3 NORTHBOUND</t>
  </si>
  <si>
    <t>BON-X03-001</t>
  </si>
  <si>
    <t>1234577772</t>
  </si>
  <si>
    <t>W1C 2JS</t>
  </si>
  <si>
    <t>BOND STREET</t>
  </si>
  <si>
    <t>JUBILEE LINE PLATFORM 5 NORTHBOUND</t>
  </si>
  <si>
    <t>GRP-X05-006</t>
  </si>
  <si>
    <t>1234600974</t>
  </si>
  <si>
    <t>W1J 9DZ</t>
  </si>
  <si>
    <t>GREEN PARK</t>
  </si>
  <si>
    <t>JUBILEE LINE PLATFORM 7 SOUTHBOUND</t>
  </si>
  <si>
    <t>BAK-X07-017</t>
  </si>
  <si>
    <t>1234574394</t>
  </si>
  <si>
    <t>NW1 5LA</t>
  </si>
  <si>
    <t>BAKER STREET</t>
  </si>
  <si>
    <t>PICCADILLY LINE PLATFORM 1 WESTBOUND</t>
  </si>
  <si>
    <t>GRP-X01-004</t>
  </si>
  <si>
    <t>1234599324</t>
  </si>
  <si>
    <t>BAKERLOO LINE PLATFORM 9 NORTHBOUND</t>
  </si>
  <si>
    <t>BAK-X09-014</t>
  </si>
  <si>
    <t>1234600067</t>
  </si>
  <si>
    <t>GRP-X04-028</t>
  </si>
  <si>
    <t>1234585617</t>
  </si>
  <si>
    <t>CENTRAL LINE PLATFORM 1 WESTBOUND</t>
  </si>
  <si>
    <t>BON-X01-030</t>
  </si>
  <si>
    <t>1234577756</t>
  </si>
  <si>
    <t>15.06 - Selective Prem LU 48 (10)</t>
  </si>
  <si>
    <t>LON-X02-023</t>
  </si>
  <si>
    <t>1234571996</t>
  </si>
  <si>
    <t>SE1 2SW</t>
  </si>
  <si>
    <t>LONDON BRIDGE</t>
  </si>
  <si>
    <t>NORTHERN LINE PLATFORM 8 SOUTHBOUND</t>
  </si>
  <si>
    <t>KXP-X08-011</t>
  </si>
  <si>
    <t>1234602575</t>
  </si>
  <si>
    <t>NW1 2SA</t>
  </si>
  <si>
    <t>KINGS CROSS ST PANCRAS</t>
  </si>
  <si>
    <t>VICTORIA LINE PLATFORM 3 NORTHBOUND</t>
  </si>
  <si>
    <t>KXP-X03-008</t>
  </si>
  <si>
    <t>1234602085</t>
  </si>
  <si>
    <t>CENTRAL LINE PLATFORM 4 EASTBOUND</t>
  </si>
  <si>
    <t>LIV-X04-026</t>
  </si>
  <si>
    <t>1234602248</t>
  </si>
  <si>
    <t>EC2M 7PP</t>
  </si>
  <si>
    <t>LIVERPOOL STREET</t>
  </si>
  <si>
    <t>WLO-X01-014</t>
  </si>
  <si>
    <t>1234598633</t>
  </si>
  <si>
    <t>SE1 7ND</t>
  </si>
  <si>
    <t>WATERLOO</t>
  </si>
  <si>
    <t>PICCADILLY LINE PLATFORM 6 NORTHBOUND</t>
  </si>
  <si>
    <t>KXP-X06-018</t>
  </si>
  <si>
    <t>1234602140</t>
  </si>
  <si>
    <t>BAKERLOO LINE PLATFORM 4 SOUTHBOUND</t>
  </si>
  <si>
    <t>WLO-X04-018</t>
  </si>
  <si>
    <t>1234598745</t>
  </si>
  <si>
    <t>JUBILEE LINE PLATFORM 3 WESTBOUND</t>
  </si>
  <si>
    <t>LON-X03-015</t>
  </si>
  <si>
    <t>1234572013</t>
  </si>
  <si>
    <t>JUBILEE LINE PLATFORM 5 WESTBOUND</t>
  </si>
  <si>
    <t>WLO-X05-008</t>
  </si>
  <si>
    <t>1234599721</t>
  </si>
  <si>
    <t>CIRCLE &amp; HAMMERSMITH LINE PLATFORM 2 EASTBOUND</t>
  </si>
  <si>
    <t>KXP-X02-009</t>
  </si>
  <si>
    <t>1234602067</t>
  </si>
  <si>
    <t>Creative (A, B)</t>
  </si>
  <si>
    <t>B</t>
  </si>
  <si>
    <t>KEY</t>
  </si>
  <si>
    <t>A = Wembley Route Creative</t>
  </si>
  <si>
    <t>Haringey Area</t>
  </si>
  <si>
    <t>Used at stations/platforms with strong connectivity to Wembley Stadium via the Jubilee, Metropolitan, or interchange-heavy routes commonly used for Wembley event travel.</t>
  </si>
  <si>
    <t>B = General Creative</t>
  </si>
  <si>
    <t>Used at broader Underground locations where audience intent is more general commuter traffic rather than Wembley-bound journeys.</t>
  </si>
  <si>
    <t>A</t>
  </si>
  <si>
    <t>Across the 39 placements in the plan:</t>
  </si>
  <si>
    <t>A (Wembley Creative): 20 placements (51.3%)</t>
  </si>
  <si>
    <t>B (General Creative): 19 placements (48.7%)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</si>
</sst>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£&quot;* #,##0.00_-;\-&quot;£&quot;* #,##0.00_-;_-&quot;£&quot;* &quot;-&quot;??_-;_-@_-"/>
    <numFmt numFmtId="165" formatCode="_(&quot;£&quot;* #,##0.00_);_(&quot;£&quot;* \(#,##0.00\);_(&quot;£&quot;* &quot;-&quot;??_);_(@_)"/>
    <numFmt numFmtId="166" formatCode="[$-F800]dddd\,\ mmmm\ dd\,\ yyyy"/>
    <numFmt numFmtId="167" formatCode="[$£-809]#,###.00;[Red]\-[$£-809]#,###.00"/>
    <numFmt numFmtId="168" formatCode="&quot;£&quot;#,##0.00"/>
    <numFmt numFmtId="169" formatCode="\£#,##0.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Aptos"/>
    </font>
    <font>
      <b/>
      <sz val="11"/>
      <color rgb="FF000000"/>
      <name val="Aptos"/>
    </font>
    <font>
      <b/>
      <sz val="11"/>
      <color rgb="FFFFFFFF"/>
      <name val="Aptos"/>
    </font>
    <font>
      <sz val="11"/>
      <color rgb="FF2B2F32"/>
      <name val="Aptos"/>
    </font>
    <font>
      <b/>
      <sz val="11"/>
      <color rgb="FF2B2F32"/>
      <name val="Aptos"/>
    </font>
    <font>
      <sz val="11"/>
      <name val="Aptos"/>
    </font>
    <font>
      <sz val="11"/>
      <color rgb="FFFFFFFF"/>
      <name val="Aptos"/>
    </font>
    <font>
      <u/>
      <sz val="12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rgb="FF212121"/>
      <name val="Aptos"/>
    </font>
    <font>
      <sz val="12"/>
      <color rgb="FF212121"/>
      <name val="Aptos"/>
    </font>
    <font>
      <sz val="10"/>
      <color rgb="FF000000"/>
      <name val="Aptos"/>
    </font>
    <font>
      <b/>
      <sz val="12"/>
      <color rgb="FF000000"/>
      <name val="Aptos Narrow"/>
      <family val="2"/>
      <scheme val="minor"/>
    </font>
    <font>
      <b/>
      <sz val="12"/>
      <color rgb="FF000000"/>
      <name val="Aptos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FFFFCC"/>
      </patternFill>
    </fill>
    <fill>
      <patternFill patternType="solid">
        <fgColor rgb="FF021D43"/>
        <bgColor rgb="FF469FBC"/>
      </patternFill>
    </fill>
    <fill>
      <patternFill patternType="solid">
        <fgColor rgb="FFD3E6FE"/>
        <bgColor rgb="FFCCFFFF"/>
      </patternFill>
    </fill>
    <fill>
      <patternFill patternType="solid">
        <fgColor rgb="FF21EFBF"/>
        <bgColor rgb="FFAAAAAA"/>
      </patternFill>
    </fill>
    <fill>
      <patternFill patternType="solid">
        <fgColor rgb="FF7061EE"/>
        <bgColor rgb="FFFF99CC"/>
      </patternFill>
    </fill>
    <fill>
      <patternFill patternType="solid">
        <fgColor rgb="FFFF005C"/>
        <bgColor rgb="FFB4D8E4"/>
      </patternFill>
    </fill>
    <fill>
      <patternFill patternType="solid">
        <fgColor rgb="FF021D43"/>
        <bgColor rgb="FF27A393"/>
      </patternFill>
    </fill>
    <fill>
      <patternFill patternType="solid">
        <fgColor rgb="FFD3E6FE"/>
        <bgColor rgb="FFA8DAD3"/>
      </patternFill>
    </fill>
    <fill>
      <patternFill patternType="solid">
        <fgColor rgb="FFD3E6FE"/>
        <bgColor rgb="FFB4D8E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E7E6E6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AAAAAA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15" borderId="12" applyNumberFormat="0" applyAlignment="0" applyProtection="0"/>
    <xf numFmtId="0" fontId="4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15" borderId="12" applyNumberFormat="0" applyAlignment="0" applyProtection="0"/>
    <xf numFmtId="0" fontId="12" fillId="0" borderId="0" applyNumberFormat="0" applyFill="0" applyBorder="0" applyAlignment="0" applyProtection="0"/>
  </cellStyleXfs>
  <cellXfs count="90">
    <xf numFmtId="0" fontId="0" fillId="0" borderId="0" xfId="0"/>
    <xf numFmtId="0" fontId="4" fillId="0" borderId="0" xfId="4"/>
    <xf numFmtId="14" fontId="4" fillId="0" borderId="0" xfId="4" applyNumberFormat="1"/>
    <xf numFmtId="0" fontId="5" fillId="2" borderId="0" xfId="0" applyFont="1" applyFill="1"/>
    <xf numFmtId="0" fontId="5" fillId="0" borderId="0" xfId="0" applyFont="1"/>
    <xf numFmtId="0" fontId="5" fillId="13" borderId="0" xfId="0" applyFont="1" applyFill="1"/>
    <xf numFmtId="0" fontId="5" fillId="12" borderId="0" xfId="0" applyFont="1" applyFill="1"/>
    <xf numFmtId="165" fontId="5" fillId="2" borderId="0" xfId="1" applyFont="1" applyFill="1" applyBorder="1"/>
    <xf numFmtId="164" fontId="5" fillId="2" borderId="0" xfId="0" applyNumberFormat="1" applyFont="1" applyFill="1"/>
    <xf numFmtId="0" fontId="6" fillId="2" borderId="0" xfId="0" applyFont="1" applyFill="1"/>
    <xf numFmtId="165" fontId="5" fillId="2" borderId="0" xfId="0" applyNumberFormat="1" applyFont="1" applyFill="1"/>
    <xf numFmtId="0" fontId="5" fillId="2" borderId="0" xfId="0" applyFont="1" applyFill="1" applyAlignment="1">
      <alignment horizontal="right"/>
    </xf>
    <xf numFmtId="0" fontId="5" fillId="3" borderId="1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49" fontId="5" fillId="3" borderId="0" xfId="0" applyNumberFormat="1" applyFont="1" applyFill="1" applyAlignment="1">
      <alignment horizontal="center" vertical="center"/>
    </xf>
    <xf numFmtId="49" fontId="8" fillId="5" borderId="3" xfId="0" applyNumberFormat="1" applyFont="1" applyFill="1" applyBorder="1" applyAlignment="1">
      <alignment horizontal="left" vertical="center"/>
    </xf>
    <xf numFmtId="49" fontId="8" fillId="5" borderId="5" xfId="0" applyNumberFormat="1" applyFont="1" applyFill="1" applyBorder="1" applyAlignment="1">
      <alignment horizontal="left" vertical="center"/>
    </xf>
    <xf numFmtId="49" fontId="6" fillId="3" borderId="6" xfId="0" applyNumberFormat="1" applyFont="1" applyFill="1" applyBorder="1" applyAlignment="1">
      <alignment horizontal="center" vertical="center" wrapText="1"/>
    </xf>
    <xf numFmtId="49" fontId="6" fillId="3" borderId="0" xfId="0" applyNumberFormat="1" applyFont="1" applyFill="1" applyAlignment="1">
      <alignment horizontal="center" vertical="center" wrapText="1"/>
    </xf>
    <xf numFmtId="49" fontId="5" fillId="6" borderId="6" xfId="0" applyNumberFormat="1" applyFont="1" applyFill="1" applyBorder="1" applyAlignment="1">
      <alignment horizontal="center" vertical="center" wrapText="1"/>
    </xf>
    <xf numFmtId="49" fontId="5" fillId="3" borderId="0" xfId="0" applyNumberFormat="1" applyFont="1" applyFill="1" applyAlignment="1">
      <alignment horizontal="center" vertical="center" wrapText="1"/>
    </xf>
    <xf numFmtId="49" fontId="8" fillId="5" borderId="5" xfId="0" applyNumberFormat="1" applyFont="1" applyFill="1" applyBorder="1" applyAlignment="1">
      <alignment horizontal="left" vertical="center" wrapText="1"/>
    </xf>
    <xf numFmtId="49" fontId="5" fillId="7" borderId="6" xfId="0" applyNumberFormat="1" applyFont="1" applyFill="1" applyBorder="1" applyAlignment="1">
      <alignment horizontal="center" vertical="center" wrapText="1"/>
    </xf>
    <xf numFmtId="49" fontId="5" fillId="8" borderId="6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49" fontId="8" fillId="5" borderId="7" xfId="0" applyNumberFormat="1" applyFont="1" applyFill="1" applyBorder="1" applyAlignment="1">
      <alignment horizontal="left" vertical="center"/>
    </xf>
    <xf numFmtId="49" fontId="7" fillId="9" borderId="6" xfId="0" applyNumberFormat="1" applyFont="1" applyFill="1" applyBorder="1" applyAlignment="1">
      <alignment horizontal="center" vertical="center" wrapText="1"/>
    </xf>
    <xf numFmtId="49" fontId="7" fillId="9" borderId="9" xfId="0" applyNumberFormat="1" applyFont="1" applyFill="1" applyBorder="1" applyAlignment="1">
      <alignment horizontal="center" vertical="center" wrapText="1"/>
    </xf>
    <xf numFmtId="49" fontId="8" fillId="11" borderId="6" xfId="0" applyNumberFormat="1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 wrapText="1"/>
    </xf>
    <xf numFmtId="49" fontId="5" fillId="12" borderId="6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/>
    </xf>
    <xf numFmtId="49" fontId="5" fillId="12" borderId="6" xfId="0" applyNumberFormat="1" applyFont="1" applyFill="1" applyBorder="1" applyAlignment="1">
      <alignment horizontal="center" vertical="center"/>
    </xf>
    <xf numFmtId="1" fontId="10" fillId="12" borderId="9" xfId="0" applyNumberFormat="1" applyFont="1" applyFill="1" applyBorder="1" applyAlignment="1">
      <alignment horizontal="center" vertical="center" wrapText="1"/>
    </xf>
    <xf numFmtId="49" fontId="10" fillId="12" borderId="6" xfId="0" applyNumberFormat="1" applyFont="1" applyFill="1" applyBorder="1" applyAlignment="1">
      <alignment horizontal="center" vertical="center"/>
    </xf>
    <xf numFmtId="9" fontId="10" fillId="12" borderId="6" xfId="2" applyFont="1" applyFill="1" applyBorder="1" applyAlignment="1">
      <alignment horizontal="center" vertical="center"/>
    </xf>
    <xf numFmtId="166" fontId="5" fillId="12" borderId="6" xfId="0" applyNumberFormat="1" applyFont="1" applyFill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 wrapText="1"/>
    </xf>
    <xf numFmtId="165" fontId="10" fillId="12" borderId="6" xfId="1" applyFont="1" applyFill="1" applyBorder="1" applyAlignment="1">
      <alignment vertical="center" wrapText="1"/>
    </xf>
    <xf numFmtId="165" fontId="5" fillId="0" borderId="6" xfId="1" applyFont="1" applyFill="1" applyBorder="1" applyAlignment="1">
      <alignment vertical="center" wrapText="1"/>
    </xf>
    <xf numFmtId="165" fontId="5" fillId="0" borderId="6" xfId="1" applyFont="1" applyFill="1" applyBorder="1" applyAlignment="1">
      <alignment horizontal="center" vertical="center" wrapText="1"/>
    </xf>
    <xf numFmtId="49" fontId="7" fillId="9" borderId="6" xfId="0" applyNumberFormat="1" applyFont="1" applyFill="1" applyBorder="1" applyAlignment="1">
      <alignment vertical="center"/>
    </xf>
    <xf numFmtId="49" fontId="7" fillId="4" borderId="6" xfId="0" applyNumberFormat="1" applyFont="1" applyFill="1" applyBorder="1" applyAlignment="1">
      <alignment horizontal="center" vertical="center"/>
    </xf>
    <xf numFmtId="165" fontId="7" fillId="9" borderId="6" xfId="1" applyFont="1" applyFill="1" applyBorder="1" applyAlignment="1">
      <alignment vertical="center"/>
    </xf>
    <xf numFmtId="49" fontId="11" fillId="9" borderId="9" xfId="0" applyNumberFormat="1" applyFont="1" applyFill="1" applyBorder="1"/>
    <xf numFmtId="49" fontId="11" fillId="9" borderId="8" xfId="0" applyNumberFormat="1" applyFont="1" applyFill="1" applyBorder="1"/>
    <xf numFmtId="167" fontId="5" fillId="3" borderId="6" xfId="0" applyNumberFormat="1" applyFont="1" applyFill="1" applyBorder="1" applyAlignment="1">
      <alignment horizontal="center" vertical="center"/>
    </xf>
    <xf numFmtId="167" fontId="5" fillId="3" borderId="0" xfId="0" applyNumberFormat="1" applyFont="1" applyFill="1" applyAlignment="1">
      <alignment horizontal="center" vertical="center"/>
    </xf>
    <xf numFmtId="49" fontId="7" fillId="9" borderId="9" xfId="0" applyNumberFormat="1" applyFont="1" applyFill="1" applyBorder="1"/>
    <xf numFmtId="49" fontId="7" fillId="9" borderId="8" xfId="0" applyNumberFormat="1" applyFont="1" applyFill="1" applyBorder="1"/>
    <xf numFmtId="167" fontId="6" fillId="3" borderId="6" xfId="0" applyNumberFormat="1" applyFont="1" applyFill="1" applyBorder="1" applyAlignment="1">
      <alignment horizontal="center" vertical="center"/>
    </xf>
    <xf numFmtId="167" fontId="6" fillId="3" borderId="0" xfId="0" applyNumberFormat="1" applyFont="1" applyFill="1" applyAlignment="1">
      <alignment horizontal="center" vertical="center"/>
    </xf>
    <xf numFmtId="0" fontId="3" fillId="15" borderId="12" xfId="7"/>
    <xf numFmtId="14" fontId="3" fillId="15" borderId="12" xfId="7" applyNumberFormat="1"/>
    <xf numFmtId="169" fontId="0" fillId="0" borderId="6" xfId="0" applyNumberFormat="1" applyBorder="1"/>
    <xf numFmtId="0" fontId="0" fillId="0" borderId="6" xfId="0" applyBorder="1"/>
    <xf numFmtId="14" fontId="0" fillId="0" borderId="6" xfId="0" applyNumberFormat="1" applyBorder="1"/>
    <xf numFmtId="0" fontId="2" fillId="14" borderId="6" xfId="6" applyBorder="1"/>
    <xf numFmtId="49" fontId="12" fillId="12" borderId="6" xfId="8" applyNumberFormat="1" applyFill="1" applyBorder="1" applyAlignment="1">
      <alignment horizontal="center" vertical="center"/>
    </xf>
    <xf numFmtId="49" fontId="9" fillId="10" borderId="6" xfId="0" applyNumberFormat="1" applyFont="1" applyFill="1" applyBorder="1" applyAlignment="1">
      <alignment horizontal="center" vertical="center" wrapText="1"/>
    </xf>
    <xf numFmtId="0" fontId="12" fillId="2" borderId="0" xfId="8" applyFill="1"/>
    <xf numFmtId="49" fontId="7" fillId="4" borderId="9" xfId="0" applyNumberFormat="1" applyFont="1" applyFill="1" applyBorder="1" applyAlignment="1">
      <alignment vertical="center" wrapText="1"/>
    </xf>
    <xf numFmtId="49" fontId="7" fillId="4" borderId="11" xfId="0" applyNumberFormat="1" applyFont="1" applyFill="1" applyBorder="1" applyAlignment="1">
      <alignment vertical="center" wrapText="1"/>
    </xf>
    <xf numFmtId="49" fontId="7" fillId="4" borderId="8" xfId="0" applyNumberFormat="1" applyFont="1" applyFill="1" applyBorder="1" applyAlignment="1">
      <alignment vertical="center" wrapText="1"/>
    </xf>
    <xf numFmtId="49" fontId="8" fillId="10" borderId="6" xfId="0" applyNumberFormat="1" applyFont="1" applyFill="1" applyBorder="1" applyAlignment="1">
      <alignment horizontal="center" vertical="center" wrapText="1"/>
    </xf>
    <xf numFmtId="166" fontId="12" fillId="12" borderId="6" xfId="8" applyNumberForma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/>
    <xf numFmtId="49" fontId="0" fillId="0" borderId="14" xfId="0" applyNumberFormat="1" applyBorder="1" applyAlignment="1">
      <alignment horizontal="center"/>
    </xf>
    <xf numFmtId="0" fontId="17" fillId="0" borderId="14" xfId="0" applyFont="1" applyBorder="1" applyAlignment="1">
      <alignment vertical="top" wrapText="1"/>
    </xf>
    <xf numFmtId="0" fontId="17" fillId="0" borderId="14" xfId="0" applyFont="1" applyBorder="1"/>
    <xf numFmtId="49" fontId="18" fillId="0" borderId="14" xfId="0" applyNumberFormat="1" applyFont="1" applyBorder="1" applyAlignment="1">
      <alignment horizontal="center"/>
    </xf>
    <xf numFmtId="0" fontId="18" fillId="0" borderId="0" xfId="0" applyFont="1"/>
    <xf numFmtId="0" fontId="15" fillId="0" borderId="0" xfId="0" applyFont="1"/>
    <xf numFmtId="49" fontId="15" fillId="0" borderId="14" xfId="0" applyNumberFormat="1" applyFont="1" applyBorder="1" applyAlignment="1">
      <alignment horizontal="center"/>
    </xf>
    <xf numFmtId="0" fontId="19" fillId="16" borderId="14" xfId="7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49" fontId="9" fillId="10" borderId="6" xfId="0" applyNumberFormat="1" applyFont="1" applyFill="1" applyBorder="1" applyAlignment="1">
      <alignment horizontal="center" vertical="center" wrapText="1"/>
    </xf>
    <xf numFmtId="49" fontId="9" fillId="10" borderId="13" xfId="0" applyNumberFormat="1" applyFont="1" applyFill="1" applyBorder="1" applyAlignment="1">
      <alignment horizontal="center" vertical="center" wrapText="1"/>
    </xf>
    <xf numFmtId="49" fontId="9" fillId="10" borderId="10" xfId="0" applyNumberFormat="1" applyFont="1" applyFill="1" applyBorder="1" applyAlignment="1">
      <alignment horizontal="center" vertical="center" wrapText="1"/>
    </xf>
    <xf numFmtId="165" fontId="7" fillId="9" borderId="6" xfId="1" applyFont="1" applyFill="1" applyBorder="1" applyAlignment="1">
      <alignment horizontal="center" vertical="center"/>
    </xf>
    <xf numFmtId="49" fontId="7" fillId="4" borderId="9" xfId="0" applyNumberFormat="1" applyFont="1" applyFill="1" applyBorder="1" applyAlignment="1">
      <alignment horizontal="center" vertical="center" wrapText="1"/>
    </xf>
    <xf numFmtId="49" fontId="7" fillId="4" borderId="11" xfId="0" applyNumberFormat="1" applyFont="1" applyFill="1" applyBorder="1" applyAlignment="1">
      <alignment horizontal="center" vertical="center" wrapText="1"/>
    </xf>
    <xf numFmtId="49" fontId="7" fillId="9" borderId="6" xfId="0" applyNumberFormat="1" applyFont="1" applyFill="1" applyBorder="1" applyAlignment="1">
      <alignment horizontal="center" vertical="center" wrapText="1"/>
    </xf>
    <xf numFmtId="168" fontId="5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49" fontId="7" fillId="4" borderId="2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</cellXfs>
  <cellStyles count="9">
    <cellStyle name="Check Cell" xfId="7" builtinId="23"/>
    <cellStyle name="Check Cell 2" xfId="3" xr:uid="{D9397033-8982-47B2-9936-F3C3F6D0CA3A}"/>
    <cellStyle name="Currency" xfId="1" builtinId="4"/>
    <cellStyle name="Good" xfId="6" builtinId="26"/>
    <cellStyle name="Good 2" xfId="5" xr:uid="{4A01E473-129D-4805-80F4-37F8DBD7CF4E}"/>
    <cellStyle name="Hyperlink" xfId="8" builtinId="8"/>
    <cellStyle name="Normal" xfId="0" builtinId="0"/>
    <cellStyle name="Normal 2" xfId="4" xr:uid="{8380E69B-F92B-49CF-8FFE-0DC02F807F31}"/>
    <cellStyle name="Percent" xfId="2" builtinId="5"/>
  </cellStyles>
  <dxfs count="0"/>
  <tableStyles count="0" defaultTableStyle="TableStyleMedium2" defaultPivotStyle="PivotStyleLight16"/>
  <colors>
    <mruColors>
      <color rgb="FFFF01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872EC3-FC26-4C4F-9386-CC23A03D70AB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7FA755-B435-4243-9F6E-F450636FCB14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E7A312-E827-224B-A86A-4604392C5A2B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6E4D2AE-703D-5A41-A152-6DD41552BBDB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7F7C46-9634-9043-8160-BD808B955A98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590474E-F654-084E-961B-027B299DAAE2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E1FEC60-3274-6F4C-B550-33891A531E99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38540FA-5EA5-4447-A8A6-E56F27ACFE28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B6EABD7-959C-7043-AB9C-ADA6D3BA756E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086F7A2-5621-0D44-898D-1349619DB076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6ACBABA-9D6F-7D40-B71D-CDBB1D5C64F2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89BD73B-FDAA-5F41-A712-0B1A56D43A39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F1CFEEC-DF1E-1F41-ACE6-3C8E81847785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ADB99B2-7D99-D946-9FFB-D29C1E5FDBC7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2640148-FEDE-5144-84FC-E2E872032975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E6FAF99-1CD1-E341-BF13-2BA5E0A376EC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98A5014-2457-2D44-95FF-531E2AB6E7CA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F9C564F-4D70-BA42-AFB0-B69FA8046728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0E3FDFB-1171-7140-BDF9-5DF7D7C35647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28E95FE-BED7-C84E-92CB-058066178BD4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6B85F79-98B4-4543-8575-333FE27132DA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F71AA64-F88D-3347-B65E-E223295F6947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35044B3-E1D5-F446-96EB-4AC3E0A32F15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64CC611-69DA-5A4A-8F67-81C32FCF144A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4600C4E-7F00-E14C-9B3D-A458159446D5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0B38885-EADA-DE41-9112-2A7C044017BD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F43291C-8371-A64C-8194-B0518464D509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BB61989-C6F2-2F4B-8679-C7C99476ED43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A27E4C1-7F75-2F46-BEC6-88E8E168ADB9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C0EEA3A-ECEE-1E45-BF75-1DF4C8A6E01E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3DD45FE-7721-5546-886B-84DDB3B9C934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2EB34EA-8578-2B42-8B68-A3B5CA52753D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47B2EF5-1A50-C74A-A83F-DD2A2FF2F4C6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DEE2610-4EF4-CD4F-BF43-61997C62B1F6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68C15B9-1E76-DC42-827F-9841CFFA8C43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96ED9517-598D-9D48-9985-A5E963B84D31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D616067-631F-1744-B2F5-BF484CB727E3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83DC2E2-61F8-FA45-9776-F472F2D50A6C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CB74AC2-05D0-8D41-A466-CAB9D6CFD962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D4D6D17-A322-8C49-ACCB-5B677F0583C6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B30429E-DABA-7447-B62C-70E36431182C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F586CD5-7BC8-154A-957F-043DE4115C1F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FBDD3C2-05A8-064C-842F-FE3D612D1220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2CD8E5AA-FEB9-4A42-981A-211B391B225D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F9DA2F4-945D-DA4D-987C-B4155B708CC8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9D0645E-DDD4-6B43-ABA1-F0E8DE8F8596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BE433BB-605E-E840-AE5B-157B1A6C85C3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D5F6235-AE23-0444-A0BC-B740163EFA7D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F521252-F910-1046-9EDA-7DFD58D06E0E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AA96900-B48C-4944-98FC-6AC4A07F4FB7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5E47019-6AF0-5D49-BEEE-257C9B0476AE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69924863-2793-B04E-8AAB-8C52EB32A3BB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E984244-95D4-0043-878E-29159AC67490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4A73000-3FE9-A541-B37C-C2F91F4C4E32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CFC24AE-63EA-1D4D-8752-3433097CB758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5D642DA-0CB5-8B4C-9034-E92CEF1A8AF6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9FAA660-F66C-8F46-AB54-FD11AD9EA99A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4EEFA41-7A4A-4841-90CE-E902BC2F0AF3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2E7BE524-3A94-5344-BD3A-2BD4FE4D4890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599CB3F-BF3C-F642-AA34-7441ACBE8A93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59D649AE-4799-7540-B0DC-9B965D5E460E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85229C1-2139-BD4B-968C-4774F809F41F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79A4BA77-2C60-E24D-A8E5-3C063A1583EC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26B4DCC-A335-7B4B-B561-35FC85787CFB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64BD53E4-3389-9F42-972C-45B950BA0505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372178CA-CB9B-5E47-90D7-74EED17DF992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55119A3-D65B-114E-A9E7-6B2137C48B83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E999E6D4-0CBC-EB46-A9C9-BCDE133E5599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9F860A4-E0B3-4140-A17C-528ED05E9D14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15B3982C-6C67-EF4F-B8D4-897B0C6A4427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99CFA35-5A3D-8947-ABE4-3122597F9511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9520FF2-41D8-5241-8D5B-E9583642A5EA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91B94F1-9394-4B4C-B54C-B91D37E412B5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6547E009-D012-124E-9BBA-4806A1E171AB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8D154B5-F908-F140-9F4A-9BD0F6450158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7542DDC2-1A62-1842-95DD-8EC101B47897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63B3E470-EF6C-B344-8DDA-A4FA0CF4E042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F331DA32-312C-8241-AEB9-F0265D0A7FCA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1CE444CF-BB31-C748-9202-4C61E8F48AE3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714B3252-F26B-7545-B406-55A687E60296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3DAAEC2F-5D25-E34B-9E53-2348787DF3CA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C266E77-51D0-BC42-A6CE-CACF653D4783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BECA206E-F4F5-8B4D-A42D-5D7C0CCDED63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76A70099-BDAB-AD45-BEFE-8243055A7001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2D260-3F78-FD4F-856C-98B34A780FB2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D2FBFC39-1C6C-074A-B79F-F3DE5C47DACB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F3B0FC53-76B1-2248-B99A-D9A6A0988EE6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5E2DF7E-9767-8B4F-9F2E-0254040B2A60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80E390A-145D-5F49-AFA9-65E4099E14CA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468748EF-60E3-E642-A0B6-8AE1F373C4EC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98FD8CB7-AEA8-3F43-A955-3C535597D5DB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A4A8C264-510B-F146-BCF0-820E6D0D9926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C7005D65-C707-2341-BF56-169D15B3EBED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D928A2B-E4E6-3D4F-8FA8-54AA07A2CEA4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A30E06D-CA2B-A441-B298-A7E93154FF12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2DCC0DA9-2B69-0C4A-AED7-9C6E9ADF979B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CB52A4A-DBFC-1E4F-81ED-40544BEA90F1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95E3602B-C62A-404F-900E-319CE04409C2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FC5E5330-E278-FE49-A4E0-B86DFE50690B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EB258DD4-8B8F-FA4D-9253-A5D5B7750DF8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7D6F0719-1CEF-5F4A-9576-1BF93FFEEFBD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4F54645A-D642-CD4C-893A-D948B6D8CCB0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DB1EDB63-A1CE-1940-8B2F-2A0B1AB32729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3A06C079-C8C7-2B41-A10E-4E918D82FFF5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43FB5336-5652-FC45-87A5-64DF99089DC1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F899337C-D930-2A43-B133-4DA9EFCD9113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305F0115-F818-DD43-9CA4-27CAD33BD6F5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B2E79143-9161-E64F-A728-540E06A06928}"/>
            </a:ext>
          </a:extLst>
        </xdr:cNvPr>
        <xdr:cNvSpPr txBox="1"/>
      </xdr:nvSpPr>
      <xdr:spPr>
        <a:xfrm>
          <a:off x="4686300" y="43180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D305F870-7C70-FE47-8BE7-ED933C56CD03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E275A8C2-9219-FB48-BE95-EFE6DAAAE4BB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1ACD5912-D873-E143-8303-7748ED407AFE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943EFF55-A675-5A4A-8035-C0350468D349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25A9BEB6-922E-094D-83C7-79763D8BD7FA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50CA6D52-7883-DE41-A4A7-0593C4765DAA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128F5FB-249E-3349-8F1F-E1EA7249B0CB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85FFD248-A998-BC4F-B8CB-6257EC7AED65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5AC5D69B-66B8-BA42-952F-6960C8E78EAE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FFCE5855-3BC0-234E-B070-E8C1AB8D7CE3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FAF78B02-271A-0E48-BDEE-4CF3E5AF6B57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3F2ED0A-29CB-5B4A-921B-8A0642F783DA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F8A1E9C2-B516-6548-98E2-37DC931A5818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C51CE846-FD19-9E47-AE12-851FAE649236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2BF27B15-E1D1-8047-9E3F-047F6779B624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6306E86E-6476-5D46-B994-F5D3F9AA0492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FCA1D9DF-F86E-8C4D-A022-8515850F91FF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CD48D281-53F4-914C-B1E3-DA48EE141A59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79325BB5-1A46-F649-9224-91DBB124ABDC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301C5B79-39F3-4548-B9C1-94947EDCB7A1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6D15481E-D52D-A44A-B3CD-AC969A915A7E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B8ED994E-EB0A-1549-9AEB-983BFD09EFCF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55CC0F5D-A1F3-5A4D-B261-819482567971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4F5BC475-ADB5-3047-89BA-98999CEC1BF6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D314CAB-4F5A-7A4F-B41F-056AFDD9EEDC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D3223652-6557-FB48-87C6-EE6CAECF823B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344CD3E-E5C2-5841-B583-83E60AB370F7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7B46E261-DECD-914F-91EB-34BF62EBAD82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2BC5B71E-90C7-B446-998A-544761DB9503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6D42D419-11C5-9048-AA39-C49644473F30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B90E01B-1DCC-064B-95D3-308F219D1478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6E05CE53-9034-2042-8146-F3B5F51E2CFC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2BC1F0CE-9198-0141-9329-F5C5D4CECD44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8F4D0522-99C7-CE4E-BE73-3CCB44BCD069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DE1D4FE7-CD6C-A942-9B8D-59F533396914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C5AB425F-E244-0F4B-84ED-364E5A735440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34110614-7A85-E74A-9681-B163DDA91B56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224CC14-CFCA-CA49-8023-6CD150A2729C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45CEE6F7-2F93-FA44-AC8D-E7526635160F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D7988FD6-232E-E74F-99E7-6695F6DBCD40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C1CD880D-7959-2445-AC59-9405927EECCA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C411B8AE-E554-4342-B609-6896F13A717C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F6D1440A-1AAE-4943-90A0-A6C5CD95CD8E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F3027916-42A9-FC49-8C8A-7C2B83CADBD0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EA9F73D5-9273-F742-8312-DBEE86F90AC3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67CAD108-28B2-B74B-B107-8AA1DBAA4E8B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12F2B11D-9C9F-914C-BF96-5855AE118A4D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6E00F1F-AA58-D847-9707-61E8CF54F2DE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44A9A9D3-235E-3945-B813-4707F63810D0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E38402CA-6A35-BA4B-B6EB-A78D3FDF1A6F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873C3E52-A7CA-AF4B-9ADE-B0CE881EFB2A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EB104250-D613-9D45-A49B-31CAD9B58AE2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6D496DEE-BCF6-C54D-BF08-BE8B37AD14DC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7726FF1-CB81-2149-8865-4BD953890279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FAC50AF7-D004-6B40-80C1-F5BE3BC528D2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477A1CD9-7325-3E42-8436-CE2A78962DDC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72700D8D-6952-F74C-8B0E-9014B4B9E17D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380D05D4-1B61-194F-A2A5-93787D3ABBCB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96CA483C-1139-3E4A-888E-B9D5BA4372E6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CEE5601B-F5BC-0640-9D08-CBF6DE84DB48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DF3B1916-8D97-EF44-A239-C7C68F17C3E1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210E2E3F-D711-BC48-9580-C03051948E30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4E599705-3B6B-CD41-9D9B-D393D29B802A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AE9D49A2-2585-2D47-BA59-B43A502932BE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DEF8954A-D169-FF4C-9E86-CD47A275719D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9E7DAAE9-1315-4D4C-8439-3F7706129DB9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B067358D-E52D-8446-85BD-A5479D4CBD4C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422D0096-562F-AB46-A966-3048D02EFCC9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9C916B18-356C-F14F-8689-97F1E8995672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EA95E3BA-3202-874F-B55B-9B2BA32A4BAF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514F146-CEE7-D54C-A89F-F07887C06101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6A948AB8-ED7B-7A44-9631-C3D4A23BF9AE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39D93BF1-DB91-7441-AA1E-B5A2DBBF992B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AF76B1A0-7BD6-B14C-A10E-3C0BE2784921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79FADA7B-E409-BC48-AB7D-81E88D5DD577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603EBD1D-7822-F84D-8B30-7F5B5682CB4E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731CAEDB-09AA-9745-83E3-FD61A20DC074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BEB64E73-5D71-8C4E-8353-BD6FC081B28B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DA544CDF-C973-D847-90A5-17011E96EE39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8BF6DAD0-1CBF-3741-A8CD-192C231C8419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3C39E19-FD42-D145-B34A-1F1B455723C0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90FAD8D5-90A6-7B47-ADE2-1B9A53B3F736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EC3EF61E-169D-4B4D-87C4-BD37FA5C30A9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E854B0F0-5229-3048-A57F-474F5DB02F20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6203AF80-2DFB-7F4E-8BBD-B5C92FD85BC0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BF3B70D-56ED-4041-8E08-811A5C0CCA9D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2C872F1A-100C-3C48-9BF6-FCC23A319E00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D7B239A7-FB3D-B149-BD51-238B864B86CD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8A23A887-53D9-DB4D-8741-E73F2D422E6B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E5EB4E24-117D-5D43-A8A5-A3F8954B1652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63F9F3CD-2068-E54E-A7F2-DDB1357E43BF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C9634E36-CEE9-2E4E-B5F3-C6BC5E204B68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6C9A5B3D-64E5-744D-9DF4-62C8ABEAC482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77FA8AD-3581-CE40-9FD0-8C33BC42B50B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5F365455-842E-3141-8885-0457B9293140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DD025A25-39D9-C54F-ADB6-DB619A985D81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AA2AB72-DF2B-D247-85E5-82B43A3D02C3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DD237C61-80D3-7E4D-B3AC-50932AE10290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C3F95E5B-4636-4446-A4F0-8637B1EA10AD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F6B44663-5351-F641-B8BB-FA72EDFC6E53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86E10DE-EE30-CA4A-B6FF-886599103CA9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4008268E-36C8-EA4D-8545-62292EA231EE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B97EEBE0-7E64-0345-A936-798A752AFF8F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E8339F78-6DFF-3C42-A035-56400DF9CAF4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C004EC2C-CE93-4E4B-B0D3-86697C8B3F64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9B225BC2-00AE-C84B-8A93-5FB635BA4B51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E50693B2-A99C-8140-9E9C-BA918536DEEA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F5397B85-0F06-6440-806B-86AB4D57006C}"/>
            </a:ext>
          </a:extLst>
        </xdr:cNvPr>
        <xdr:cNvSpPr txBox="1"/>
      </xdr:nvSpPr>
      <xdr:spPr>
        <a:xfrm>
          <a:off x="4686300" y="45085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twoCellAnchor editAs="oneCell">
    <xdr:from>
      <xdr:col>1</xdr:col>
      <xdr:colOff>11142</xdr:colOff>
      <xdr:row>1</xdr:row>
      <xdr:rowOff>8105</xdr:rowOff>
    </xdr:from>
    <xdr:to>
      <xdr:col>1</xdr:col>
      <xdr:colOff>1294652</xdr:colOff>
      <xdr:row>4</xdr:row>
      <xdr:rowOff>66695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F7655D56-7300-0942-B6DE-2BFBFB19B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842" y="198605"/>
          <a:ext cx="1283510" cy="630090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838046E0-BCCB-8C4A-B160-2ACA6F3E40B0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CB585086-B775-C04B-9127-1864722568E7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65E61B7E-7EFA-7B4B-A744-26BDF60035E9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7F4EF1E2-EEBB-CB45-91AB-1CD423AAD12B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C9923FE3-8D34-7C45-9EF5-F11781917A89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BE9BAD5C-B796-1440-87B8-8C2C8A9E30BC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8484C990-0BD4-394C-AC82-FD6230585A32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AFC0594-6B59-734F-B926-FC941099716D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6170DC3-17F9-984A-A3BB-B5B81E42C4ED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C8BF6C1D-6F92-7848-B32D-3378E69449A3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9166AAB5-2F88-B742-9AB9-E2C9F810200C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A14A52E4-7CA9-504D-AF8D-0384519E51D6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DB7EEDAA-2DCB-934E-8A7B-791BF7AEB12D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3739B414-C3E6-3F43-9F07-270A5390E483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87CA6F2A-220F-B64A-ABB3-C6BFF52B7307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8D9397D6-375D-4E4A-B5D3-2388E2D8CE58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3316622B-FCF9-674A-96D8-03383D0643F6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14BC7A06-6EA6-094E-AFD9-1ABE355F9D81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D7BB54A9-0DE4-A945-95D4-5FFF98A17B68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F2C685FF-E5DE-BC49-B85F-BFFE8A7B5F59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7A0CA49-D299-A648-A5F0-CABC840A521F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CF14BFCD-559A-FB46-8F61-B45EFBD022CA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392EBF9C-2C7C-7341-A986-1D118E597CA7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3E5489D4-0029-814A-8B1A-C4AEE831EBDC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E36C63FC-BFE3-A346-9917-94421C167449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3A9D1A7F-0F6B-6348-8312-DA4E186D7910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4C495E66-B50E-C04C-9A8E-8F2BE0ED99C9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77824E9B-5BB7-0045-9D92-F0EFA9A0B2AF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D4BCA7BC-2725-BD4A-8F84-CB655C517DD5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53CC2901-08D8-284A-8BC7-03580D152BEF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A3877370-1CD9-094F-94E4-8AD612465D48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57283773-D905-5E4B-9923-86F9F01BE15F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D920D395-0C17-0C4A-9C23-20778C66C694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855D25B-7D11-8749-9E82-E3D27C19886E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2A0964E-69BD-344A-B416-259F8D1230A9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FBF9BC09-7987-B74C-A083-A38ACB2F7899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B4ED224D-CABF-4745-B1D5-0237FC6C55E1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DD663B76-E2DF-F24B-9DB3-61C9CEECB738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758F74FB-44B7-7143-B32A-212F56CFEB91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7215EC84-76CF-E042-966D-58AA6B1333F3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352145FC-0F15-9644-ABF7-C8DEE36F057B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5A976C25-2F97-B94A-BA68-5424531088F2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BF29ED05-0E69-1147-828A-1A169972DF17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7CEE268B-43B9-1845-AF34-F6908788087E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7C34CDEC-46EA-5B4F-9413-606E08BF2F10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DD828825-D2CA-8948-ABE0-C0B8E3B2C5F4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C88E8B66-EAC5-2C46-B3F2-BD997D015A73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7435618E-1560-A647-B7C7-1456B4239B05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3C7E21EB-8ACA-2943-947D-EB2215B248BE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94A2FCBD-284A-6B44-A618-0EA742720637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C07023E1-44FC-1C46-9B7F-7B40AE517709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CDD42BB2-4475-BF40-A54E-16A7E452CE49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50A5358-477E-024C-A52A-8772FA20C613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4BCDFD14-C0F8-314A-BC5B-7E486A39820A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FA547AB5-D8CA-9843-AA3B-09390F960FFB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BD5DE564-BDA0-534D-85DA-AD1D2921EDB6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42D846EE-6B06-D749-A884-5CE2E2C687E2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BE03346C-DDC9-F64C-9E49-135B9C28D149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49D72D8A-A091-164D-ACC7-36417DD39F92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59B47C7-6F94-0D46-8E1D-9B4BD4BE3EE2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B235F006-603D-CD45-8E4C-913FCB1F9C15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A879A148-4C62-AA45-BC87-B0274D5E39BA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F7B048B6-9A70-764F-920F-C27C2A70AA5B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508C800B-9B38-F148-BECD-907269D3FD95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F2A0411E-6A31-9443-B054-56AF4B8C4C5D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1985BF38-71AB-5748-93C3-5315968B048E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E8F4BF63-B5B3-044E-BE6F-4CAEC788D207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CBCD61DB-0F9F-6846-9660-3BF9F5A317D4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A70F8E7C-21E4-C54F-98C9-024AFBAD2088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1D6779DD-EBB8-7C4E-8353-C1BFE5112F0A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9FC4E8B8-69AB-3B42-8B73-5DDA4F3B6CFC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9637D2A9-75F1-E24D-BDBC-D9B469088219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EA4F7156-3AA2-554B-BDD4-ED994AE1E3DC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838C0864-DA1B-B64C-954B-00CB75DF8389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2216CDA9-8BE4-5243-A1B3-07D8E62A729F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B4C8F993-0F77-004D-BA09-B2A20D770AE4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918CF4D6-F75E-AA40-AFDD-206DFA804C53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62399E7E-1DFE-874A-917B-A11642FD021A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8A0714A7-5922-AA4D-AD24-4B922D33D7E8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C18998E0-4D14-4A45-A1CA-9C3B669D1F86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99E2895C-1C12-074B-A620-7E84098B9E4A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E6B54E8A-8E53-E348-8BC9-25C9B905540F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2F42174A-40A4-4647-BFAA-D45F9D8ACDDE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D2970CAB-D51C-CF4D-8794-756C40F5CCDE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66FB78C4-83CD-A64C-97F1-2A81025C5613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69F19118-1E64-3141-B024-7ABC54557146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5E84EC53-5A61-2548-AA89-B6310EAB25AD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9A486D4A-112A-974D-8690-76EEB8107A01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4555B886-4987-A247-9BE1-C6C18C9A1A37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27CEE909-2E8A-2745-9813-AE302CAB26BD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1FE18257-90DF-2140-B211-0CE15256B935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F6C10C14-3C8D-E349-B09F-45DB5D270927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C2E803E9-D6CE-5A43-97D1-53B251E58145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F25D3E4A-25DE-6D4C-B1C2-4391392E1D83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85E52749-0A52-5A46-865A-508B6E96CF2A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7EB1E10E-C8C9-6F42-8AD4-0A871999BE71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E26F962E-7BD5-8546-B6F1-8BA8F056C5CA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C6B517F1-5521-114C-9DAF-756B527F89D1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51E225C8-93C9-2C40-A909-89F12424E714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66B45479-7568-9D43-A8FD-DEE32EB71DF2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EA1290AF-FFCF-614F-B5E1-EF6B442179E1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87820D26-88A1-2442-98EF-F1A6C8AF45D7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EBB8B8A2-B8FA-9844-B31C-1034D2979E16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03C2314B-A91E-F14B-BDCE-DBE78FD320A9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795118FF-460F-BB44-B52D-2F3E828F3096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E5696A16-72A9-FF4A-BDDE-B4953B92D6E2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216F4720-6B74-2946-BEA1-F97EF21DBF9D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A20189B7-A816-9242-BEB9-86FD9CD4C071}"/>
            </a:ext>
          </a:extLst>
        </xdr:cNvPr>
        <xdr:cNvSpPr txBox="1"/>
      </xdr:nvSpPr>
      <xdr:spPr>
        <a:xfrm>
          <a:off x="4686300" y="77724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4CD50BBB-A59D-D340-B367-7847760D934F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315C5646-53F2-C84D-9DE9-0A73E2CA3AEE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F03809C8-E180-6741-9DCD-24D343001D24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C7404BCC-F956-AA41-A2E6-1AA2B31EC1FF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ECAFFF31-B59F-3A44-B78F-8910D1ADDD58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393F804-3D64-B645-9A99-F7976B5D6028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8B2744DE-3BB9-A34B-9497-E3E847A9E0D7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5BAA3F43-8571-9940-870F-4081972B2B37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AF3332D5-B418-254C-BE62-1E22485EBB0B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3C8D1993-4F87-5A4D-8FBB-D57C250782E4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9EC5B1C4-A4EB-CA43-BD35-7AE29D8438FC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0EC1EE85-BA79-F04B-B8E1-6E9D85CD543F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A656593-5755-F345-836B-B05F2C21524A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87AAD7B4-9AD8-4543-B7CC-BCA34613B956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C78078E0-C436-4C42-AB30-A7482F5B7185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3765A0F6-DC1F-D14E-B3F8-17D47F2665A9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E80F4F84-2635-A747-971E-0B7C680F2141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1F32A6E8-B439-0542-8ED7-69FEED3D42F7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86A0EA5E-314C-CB4D-BF46-AB9C2D30EA94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98D482B8-2B17-AF49-9564-5EFFC7A0C1F3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91B3D5B4-3636-AA46-A149-E0B61C86CBA7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AD07554A-A97F-E745-B69B-0DBCB3BD7525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4F69DBCB-AF3C-4041-BB58-0A9F2448F988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54B18183-B66B-F641-9BB5-F64947B9FB86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40BD22EF-77AE-6B42-A485-132B8622837E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F854BFE5-C5ED-054C-B1A2-F0260B6F12AB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8FCD9F7B-4237-6040-A014-C2D3CABAC3E1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73D9B559-A4CE-894B-AF78-5480D2423E96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485B1032-9525-0544-95D0-B1C3F64320B3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43820611-0269-724F-A987-149414AA3183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A36A7AC2-8D78-1542-A0F0-32CF02ED6922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83A75D32-0EA9-164E-B6AE-A22863EA7610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C01EC96F-2891-F740-8FF0-E0AEFEE013BC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A609EC72-82FC-CF4B-BD77-953FA6588829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B94D426F-733E-544E-B1F4-64AE23DCF3BA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3CF4842A-87C5-344B-9FC0-EC17E687AFB5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E40060D0-C783-3F4F-9D07-DD13699458CF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E69EFA99-9EF1-9540-8409-5D45596E9B18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D57517E9-5F29-C440-9512-44EA9C10D577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216AE893-BF50-0C4F-B899-A29D7039EE3F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7C3D19C9-CD2E-B043-ACD4-800FB7029E39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3A5B5F7F-1643-D840-AB08-A2551B37BA90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C84EA16F-E6E2-1843-ADBD-6810B3DB7F5F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72E99E38-8845-7E47-A034-E9FC17F085C2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10A3B5F3-72CB-304B-BC13-88CB1782FFB7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D0F55402-240F-C546-B449-7FA186589201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B5C7E4EE-2382-A841-A80B-1A0ED3557FEE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AD509823-D16E-9A46-BFEA-76EFFB01A28D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DFFEB1D1-4D0C-DB48-A0F7-452E8B6DA45A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11D53F87-4D4A-2847-A31E-E565E0535DDB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DBCFF681-F3C2-C541-ABDE-CF5FBBC50C71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7BAAA33E-E99D-A448-88DB-75CC8EF82AA7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C3587175-1513-A44A-AF4F-52E98BA56210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93806F5C-C8E5-D849-A06D-6E5D8CD4BD72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2B267D8E-0BAF-9F40-82A5-B8FDABA32AA5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9384C4C4-5197-B44A-BBED-A1210988A045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A07CF741-8069-6E4E-A4CE-C86E6943FFD7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DF6D119A-2CEB-1645-93B6-16693252E15F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9835E1B2-CE60-9B43-9ADF-EA8DBF55AA0D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B47312C3-F0FF-9840-9D32-F5A23A02525C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CFA46C63-2242-4040-AEB2-39D3808D628A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A72EF528-94E0-E249-9FAA-3FCDA9B6F7CC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6A8501D9-4AE5-9A48-BD2E-4E7A76DF858E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92115B21-B110-3D4D-BB64-BA4E5DFD8A8A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BA4DBE72-1C84-E849-BA15-FF5672132CE1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DDFA6A33-8C19-4048-9DE9-D2C1475902CC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D7BA1EE5-BDA2-D346-9A87-F10134D77359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500EE00-3CF6-5A40-8F90-12CB3E051A4D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ED380AF0-6DFD-7D49-A1F3-FB508BACC4D2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30961C71-32B5-0B47-984A-E9EE7CEEFF86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577CF311-D896-1C45-983C-0BD1EAEAD9F9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81470AD4-0872-BC48-AB8C-B2486565327D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4957E0B8-B740-4A43-817B-C2B17BC0A3EF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49E60935-2BB7-FC42-810C-ADFF7CE02AB9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AE2031DA-6BF9-7C48-8FAE-C3B827471553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8A07BEE5-7D64-6642-84BB-CB49CD5CE835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A13C7A9F-9E0B-2748-BF4B-911BB1BE5D83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85FC1AF7-CFCF-6841-83A0-683CC4E0C550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79A66467-C21B-C94E-B0D2-37FD1039B3B0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3ED04B46-79D2-884F-87EC-DFE757FE8B40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66E8D045-72C8-CC4C-A23A-C2452D1CE6BA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FF98FECF-282B-9948-9C67-342E2DAAD546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CF87A8E5-BCF1-F049-B808-52EC2391BC5E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75A35FFA-77C6-1D41-8ED2-F4CAD91B26D8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FCECC4C7-DB7A-A44D-AEB5-CC05D1804C4A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79377CBE-85F8-574F-ADDB-0BE1F6BC0109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743BB2B7-DCF3-B146-8A61-B19CAA1D1566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CB1F37AD-FC27-D746-BDAB-C5C6E8207781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907C1340-8996-AB46-A6C2-EDFB4CEABA3E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3D4D9F44-84CA-2E40-AB79-53C42574B830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F394C3E7-9021-D049-B234-2A29F441DCAE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B8D2F985-7F85-9B4B-AB67-3F20884B27BE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CF50CCAE-2E0B-9E42-B12E-E59657983668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D3CB3E69-CBB3-7446-8AF8-D9D17145771B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51D5F1F1-7B60-7E49-8CB7-1F009A5B25C6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18294F43-0BF1-8F46-8E24-F53965AD0322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C2BDABA4-49F2-AE46-B952-6AAAF0B0F1D9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6039504B-AA84-0044-B24E-672DE547B5E8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873DC13A-AF63-6A46-AD19-6B14D0D959AC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8260CEAC-EDA6-9543-80B2-3CFBECD22850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53591014-C32E-9F43-AAF7-E9720B5D1940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2C682B4D-90BA-4E48-BC05-C904838483FB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CDF80F63-EE7F-BB42-8456-F77148FABDDD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B32D6D81-50CA-C14E-BF1C-ECC874842FA7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8D2B2B0F-6FA1-E443-BC14-5F28648A0D27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8EF8A30C-AA78-CD41-A79D-2E6035E6D50D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D5794D14-00F7-E145-B648-2A25DB022223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0</xdr:colOff>
      <xdr:row>29</xdr:row>
      <xdr:rowOff>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A5143333-5AA8-DD47-B389-7647F3036CD7}"/>
            </a:ext>
          </a:extLst>
        </xdr:cNvPr>
        <xdr:cNvSpPr txBox="1"/>
      </xdr:nvSpPr>
      <xdr:spPr>
        <a:xfrm>
          <a:off x="4686300" y="7962900"/>
          <a:ext cx="184731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165099</xdr:rowOff>
    </xdr:from>
    <xdr:to>
      <xdr:col>12</xdr:col>
      <xdr:colOff>660400</xdr:colOff>
      <xdr:row>71</xdr:row>
      <xdr:rowOff>112688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62AF98-E377-15C7-95A6-157C648E9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165099"/>
          <a:ext cx="10109200" cy="143747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hannah.marsden/AppData/Local/Microsoft/Windows/INetCache/Content.Outlook/ALDOD7VK/The%20Loop%20-%20Creative%20Instructions.xlsx" TargetMode="External"/><Relationship Id="rId2" Type="http://schemas.openxmlformats.org/officeDocument/2006/relationships/externalLinkPath" Target="file:///C:\Users\hannah.marsden\AppData\Local\Microsoft\Windows\INetCache\Content.Outlook\ALDOD7VK\The%20Loop%20-%20Creative%20Instructions.xlsx" TargetMode="External"/><Relationship Id="rId1" Type="http://schemas.openxmlformats.org/officeDocument/2006/relationships/externalLinkPath" Target="/Users/hannah.marsden/AppData/Local/Microsoft/Windows/INetCache/Content.Outlook/ALDOD7VK/The%20Loop%20-%20Creative%20Instru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ite List"/>
    </sheetNames>
    <sheetDataSet>
      <sheetData sheetId="0">
        <row r="2">
          <cell r="B2" t="str">
            <v>PLATFORM 2 NORTHERN LINE SOUTHBOUND</v>
          </cell>
          <cell r="J2" t="str">
            <v>1234568488</v>
          </cell>
          <cell r="P2" t="str">
            <v>SOUTH WIMBLEDON</v>
          </cell>
        </row>
        <row r="3">
          <cell r="B3" t="str">
            <v>NORTHERN LINE PLATFORM 2 SOUTHBOUND</v>
          </cell>
          <cell r="J3" t="str">
            <v>1234569067</v>
          </cell>
          <cell r="P3" t="str">
            <v>TOOTING BROADWAY</v>
          </cell>
        </row>
        <row r="4">
          <cell r="B4" t="str">
            <v>PICCADILLY LINE PLATFORM 2 WESTBOUND</v>
          </cell>
          <cell r="J4" t="str">
            <v>1234587817</v>
          </cell>
          <cell r="P4" t="str">
            <v>HYDE PARK CORNER</v>
          </cell>
        </row>
        <row r="5">
          <cell r="B5" t="str">
            <v>PICCADILLY LINE PLATFORM 2 SOUTHBOUND</v>
          </cell>
          <cell r="J5" t="str">
            <v>1234600409</v>
          </cell>
          <cell r="P5" t="str">
            <v>WOOD GREEN</v>
          </cell>
        </row>
        <row r="6">
          <cell r="B6" t="str">
            <v>BAKERLOO LINE PLATFORM 1 NORTHBOUND</v>
          </cell>
          <cell r="J6" t="str">
            <v>1234568346</v>
          </cell>
          <cell r="P6" t="str">
            <v>REGENTS PARK</v>
          </cell>
        </row>
        <row r="7">
          <cell r="B7" t="str">
            <v>NORTHERN LINE PLATFORM 2 SOUTHBOUND</v>
          </cell>
          <cell r="J7" t="str">
            <v>2000202916</v>
          </cell>
          <cell r="P7" t="str">
            <v>NINE ELMS</v>
          </cell>
        </row>
        <row r="8">
          <cell r="B8" t="str">
            <v>JUBILEE LINE PLATFORM 1 NORTHBOUND</v>
          </cell>
          <cell r="J8" t="str">
            <v>1234595301</v>
          </cell>
          <cell r="P8" t="str">
            <v>KILBURN</v>
          </cell>
        </row>
        <row r="9">
          <cell r="B9" t="str">
            <v>NORTHERN LINE PLATFORM 1 NORTHBOUND</v>
          </cell>
          <cell r="J9" t="str">
            <v>1234574586</v>
          </cell>
          <cell r="P9" t="str">
            <v>OVAL</v>
          </cell>
        </row>
        <row r="10">
          <cell r="B10" t="str">
            <v>PICCADILLY LINE PLATFORM 2 WESTBOUND</v>
          </cell>
          <cell r="J10" t="str">
            <v>1234601019</v>
          </cell>
          <cell r="P10" t="str">
            <v>RUSSELL SQUARE</v>
          </cell>
        </row>
        <row r="11">
          <cell r="B11" t="str">
            <v>PICCADILLY LINE PLATFORM 1 NORTHBOUND</v>
          </cell>
          <cell r="J11" t="str">
            <v>1234572113</v>
          </cell>
          <cell r="P11" t="str">
            <v>SOUTHGATE</v>
          </cell>
        </row>
        <row r="12">
          <cell r="B12" t="str">
            <v>VICTORIA LINE PLATFORM 4 SOUTHBOUND</v>
          </cell>
          <cell r="J12" t="str">
            <v>1234597806</v>
          </cell>
          <cell r="P12" t="str">
            <v>STOCKWELL</v>
          </cell>
        </row>
        <row r="13">
          <cell r="B13" t="str">
            <v>NORTHERN LINE PLATFORM 1 NORTHBOUND</v>
          </cell>
          <cell r="J13" t="str">
            <v>1234568933</v>
          </cell>
          <cell r="P13" t="str">
            <v>TOOTING BEC</v>
          </cell>
        </row>
        <row r="14">
          <cell r="B14" t="str">
            <v>VICTORIA LINE PLATFORM 2 SOUTHBOUND</v>
          </cell>
          <cell r="J14" t="str">
            <v>1234583810</v>
          </cell>
          <cell r="P14" t="str">
            <v>TOTTENHAM HALE</v>
          </cell>
        </row>
        <row r="15">
          <cell r="B15" t="str">
            <v>JUBILEE LINE PLATFORM 2 EASTBOUND</v>
          </cell>
          <cell r="J15" t="str">
            <v>1234575760</v>
          </cell>
          <cell r="P15" t="str">
            <v>SOUTHWARK</v>
          </cell>
        </row>
        <row r="16">
          <cell r="B16" t="str">
            <v>DOCKLANDS RAILWAY PLATFORM 1 SOUTHBOUND</v>
          </cell>
          <cell r="J16" t="str">
            <v>1234602396</v>
          </cell>
          <cell r="P16" t="str">
            <v>ISLAND GARDENS</v>
          </cell>
        </row>
        <row r="17">
          <cell r="B17" t="str">
            <v>NORTHERN LINE PLATFORM 2 SOUTHBOUND</v>
          </cell>
          <cell r="J17" t="str">
            <v>1234599926</v>
          </cell>
          <cell r="P17" t="str">
            <v>HAMPSTEAD</v>
          </cell>
        </row>
        <row r="18">
          <cell r="B18" t="str">
            <v>NORTHERN LINE PLATFORM 1 NORTHBOUND</v>
          </cell>
          <cell r="J18" t="str">
            <v>1234568710</v>
          </cell>
          <cell r="P18" t="str">
            <v>COLLIERS WOOD</v>
          </cell>
        </row>
        <row r="19">
          <cell r="B19" t="str">
            <v>CENTRAL LINE PLATFORM 2 EASTBOUND</v>
          </cell>
          <cell r="J19" t="str">
            <v>1234590601</v>
          </cell>
          <cell r="P19" t="str">
            <v>ST PAULS</v>
          </cell>
        </row>
        <row r="20">
          <cell r="B20" t="str">
            <v>NORTHERN LINE PLATFORM 1 NORTHBOUND</v>
          </cell>
          <cell r="J20" t="str">
            <v>1234568811</v>
          </cell>
          <cell r="P20" t="str">
            <v>TUFNELL PARK</v>
          </cell>
        </row>
        <row r="21">
          <cell r="B21" t="str">
            <v>NORTHERN LINE PLATFORM 1 NORTHBOUND (CHARING X BRANCH)</v>
          </cell>
          <cell r="J21" t="str">
            <v>1234588637</v>
          </cell>
          <cell r="P21" t="str">
            <v>KENNINGTON</v>
          </cell>
        </row>
        <row r="22">
          <cell r="B22" t="str">
            <v>METROPOLITAN LINE PLATFORM 2 EASTBOUND</v>
          </cell>
          <cell r="J22" t="str">
            <v>1234589177</v>
          </cell>
          <cell r="P22" t="str">
            <v>EASTCOTE</v>
          </cell>
        </row>
        <row r="23">
          <cell r="B23" t="str">
            <v>NORTHERN LINE PLATFORM 2 SOUTHBOUND</v>
          </cell>
          <cell r="J23" t="str">
            <v>1234588929</v>
          </cell>
          <cell r="P23" t="str">
            <v>CLAPHAM NORTH</v>
          </cell>
        </row>
        <row r="24">
          <cell r="B24" t="str">
            <v>JUBILEE LINE PLATFORM 3 NORTHBOUND</v>
          </cell>
          <cell r="J24" t="str">
            <v>1234577772</v>
          </cell>
          <cell r="P24" t="str">
            <v>BOND STREET</v>
          </cell>
        </row>
        <row r="25">
          <cell r="B25" t="str">
            <v>JUBILEE LINE PLATFORM 5 NORTHBOUND</v>
          </cell>
          <cell r="J25" t="str">
            <v>1234600974</v>
          </cell>
          <cell r="P25" t="str">
            <v>GREEN PARK</v>
          </cell>
        </row>
        <row r="26">
          <cell r="B26" t="str">
            <v>JUBILEE LINE PLATFORM 7 SOUTHBOUND</v>
          </cell>
          <cell r="J26" t="str">
            <v>1234574394</v>
          </cell>
          <cell r="P26" t="str">
            <v>BAKER STREET</v>
          </cell>
        </row>
        <row r="27">
          <cell r="B27" t="str">
            <v>PICCADILLY LINE PLATFORM 1 WESTBOUND</v>
          </cell>
          <cell r="J27" t="str">
            <v>1234599324</v>
          </cell>
          <cell r="P27" t="str">
            <v>GREEN PARK</v>
          </cell>
        </row>
        <row r="28">
          <cell r="B28" t="str">
            <v>BAKERLOO LINE PLATFORM 9 NORTHBOUND</v>
          </cell>
          <cell r="J28" t="str">
            <v>1234600067</v>
          </cell>
          <cell r="P28" t="str">
            <v>BAKER STREET</v>
          </cell>
        </row>
        <row r="29">
          <cell r="B29" t="str">
            <v>VICTORIA LINE PLATFORM 4 SOUTHBOUND</v>
          </cell>
          <cell r="J29" t="str">
            <v>1234585617</v>
          </cell>
          <cell r="P29" t="str">
            <v>GREEN PARK</v>
          </cell>
        </row>
        <row r="30">
          <cell r="B30" t="str">
            <v>CENTRAL LINE PLATFORM 1 WESTBOUND</v>
          </cell>
          <cell r="J30" t="str">
            <v>1234577756</v>
          </cell>
          <cell r="P30" t="str">
            <v>BOND STREET</v>
          </cell>
        </row>
        <row r="31">
          <cell r="B31" t="str">
            <v>NORTHERN LINE PLATFORM 2 SOUTHBOUND</v>
          </cell>
          <cell r="J31" t="str">
            <v>1234571996</v>
          </cell>
          <cell r="P31" t="str">
            <v>LONDON BRIDGE</v>
          </cell>
        </row>
        <row r="32">
          <cell r="B32" t="str">
            <v>NORTHERN LINE PLATFORM 8 SOUTHBOUND</v>
          </cell>
          <cell r="J32" t="str">
            <v>1234602575</v>
          </cell>
          <cell r="P32" t="str">
            <v>KINGS CROSS ST PANCRAS</v>
          </cell>
        </row>
        <row r="33">
          <cell r="B33" t="str">
            <v>VICTORIA LINE PLATFORM 3 NORTHBOUND</v>
          </cell>
          <cell r="J33" t="str">
            <v>1234602085</v>
          </cell>
          <cell r="P33" t="str">
            <v>KINGS CROSS ST PANCRAS</v>
          </cell>
        </row>
        <row r="34">
          <cell r="B34" t="str">
            <v>CENTRAL LINE PLATFORM 4 EASTBOUND</v>
          </cell>
          <cell r="J34" t="str">
            <v>1234602248</v>
          </cell>
          <cell r="P34" t="str">
            <v>LIVERPOOL STREET</v>
          </cell>
        </row>
        <row r="35">
          <cell r="B35" t="str">
            <v>NORTHERN LINE PLATFORM 1 NORTHBOUND</v>
          </cell>
          <cell r="J35" t="str">
            <v>1234598633</v>
          </cell>
          <cell r="P35" t="str">
            <v>WATERLOO</v>
          </cell>
        </row>
        <row r="36">
          <cell r="B36" t="str">
            <v>PICCADILLY LINE PLATFORM 6 NORTHBOUND</v>
          </cell>
          <cell r="J36" t="str">
            <v>1234602140</v>
          </cell>
          <cell r="P36" t="str">
            <v>KINGS CROSS ST PANCRAS</v>
          </cell>
        </row>
        <row r="37">
          <cell r="B37" t="str">
            <v>BAKERLOO LINE PLATFORM 4 SOUTHBOUND</v>
          </cell>
          <cell r="J37" t="str">
            <v>1234598745</v>
          </cell>
          <cell r="P37" t="str">
            <v>WATERLOO</v>
          </cell>
        </row>
        <row r="38">
          <cell r="B38" t="str">
            <v>JUBILEE LINE PLATFORM 3 WESTBOUND</v>
          </cell>
          <cell r="J38" t="str">
            <v>1234572013</v>
          </cell>
          <cell r="P38" t="str">
            <v>LONDON BRIDGE</v>
          </cell>
        </row>
        <row r="39">
          <cell r="B39" t="str">
            <v>JUBILEE LINE PLATFORM 5 WESTBOUND</v>
          </cell>
          <cell r="J39" t="str">
            <v>1234599721</v>
          </cell>
          <cell r="P39" t="str">
            <v>WATERLOO</v>
          </cell>
        </row>
        <row r="40">
          <cell r="B40" t="str">
            <v>CIRCLE &amp; HAMMERSMITH LINE PLATFORM 2 EASTBOUND</v>
          </cell>
          <cell r="J40" t="str">
            <v>1234602067</v>
          </cell>
          <cell r="P40" t="str">
            <v>KINGS CROSS ST PANCRAS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bbie.Gardner@smpgroup.co.uk" TargetMode="External"/><Relationship Id="rId2" Type="http://schemas.openxmlformats.org/officeDocument/2006/relationships/hyperlink" Target="https://plato.talonoutdoor.com/mapportal/710576af-6124-45f2-a00e-78374c71b584" TargetMode="External"/><Relationship Id="rId1" Type="http://schemas.openxmlformats.org/officeDocument/2006/relationships/hyperlink" Target="https://global.com/wp-content/uploads/2020/10/48-Sheets-Across-Track.pdf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Robbie.Gardner@smpgroup.co.uk" TargetMode="External"/><Relationship Id="rId1" Type="http://schemas.openxmlformats.org/officeDocument/2006/relationships/hyperlink" Target="https://global.com/wp-content/uploads/2020/10/48-Sheets-Across-Track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91DD-745A-1C41-B8C7-3773B692E078}">
  <dimension ref="A1:DY34"/>
  <sheetViews>
    <sheetView showGridLines="0" topLeftCell="D1" zoomScaleNormal="100" workbookViewId="0">
      <selection activeCell="T24" sqref="T24"/>
    </sheetView>
  </sheetViews>
  <sheetFormatPr defaultColWidth="8.5" defaultRowHeight="15" x14ac:dyDescent="0.25"/>
  <cols>
    <col min="1" max="1" width="3.5" style="3" customWidth="1"/>
    <col min="2" max="2" width="19.375" style="3" customWidth="1"/>
    <col min="3" max="3" width="20.125" style="3" customWidth="1"/>
    <col min="4" max="4" width="31.5" style="3" bestFit="1" customWidth="1"/>
    <col min="5" max="5" width="17.5" style="3" customWidth="1"/>
    <col min="6" max="6" width="14.5" style="3" bestFit="1" customWidth="1"/>
    <col min="7" max="7" width="20" style="3" customWidth="1"/>
    <col min="8" max="8" width="18.5" style="3" customWidth="1"/>
    <col min="9" max="10" width="14.5" style="3" customWidth="1"/>
    <col min="11" max="11" width="14.625" style="3" customWidth="1"/>
    <col min="12" max="12" width="17.625" style="3" customWidth="1"/>
    <col min="13" max="13" width="23.25" style="3" bestFit="1" customWidth="1"/>
    <col min="14" max="16" width="5.125" style="3" customWidth="1"/>
    <col min="17" max="19" width="4.875" style="3" customWidth="1"/>
    <col min="20" max="48" width="4.875" style="4" customWidth="1"/>
    <col min="49" max="51" width="13.5" style="4" customWidth="1"/>
    <col min="52" max="52" width="13.5" style="3" customWidth="1"/>
    <col min="53" max="53" width="11.875" style="3" customWidth="1"/>
    <col min="54" max="55" width="15.5" style="3" customWidth="1"/>
    <col min="56" max="56" width="35.875" style="3" customWidth="1"/>
    <col min="57" max="57" width="64.875" style="3" bestFit="1" customWidth="1"/>
    <col min="58" max="58" width="18.5" style="3" customWidth="1"/>
    <col min="59" max="59" width="21.375" style="3" bestFit="1" customWidth="1"/>
    <col min="60" max="60" width="27.125" style="3" bestFit="1" customWidth="1"/>
    <col min="61" max="16384" width="8.5" style="3"/>
  </cols>
  <sheetData>
    <row r="1" spans="1:57" x14ac:dyDescent="0.25"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</row>
    <row r="2" spans="1:57" x14ac:dyDescent="0.25"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</row>
    <row r="3" spans="1:57" x14ac:dyDescent="0.25"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</row>
    <row r="4" spans="1:57" x14ac:dyDescent="0.25">
      <c r="J4" s="4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</row>
    <row r="5" spans="1:57" x14ac:dyDescent="0.25"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</row>
    <row r="6" spans="1:57" ht="15.75" thickBot="1" x14ac:dyDescent="0.3">
      <c r="S6" s="4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</row>
    <row r="7" spans="1:57" ht="16.5" customHeight="1" thickBot="1" x14ac:dyDescent="0.3">
      <c r="B7" s="88" t="s">
        <v>0</v>
      </c>
      <c r="C7" s="88"/>
      <c r="D7" s="88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4"/>
    </row>
    <row r="8" spans="1:57" ht="16.5" customHeight="1" x14ac:dyDescent="0.25">
      <c r="A8" s="3" t="s">
        <v>1</v>
      </c>
      <c r="B8" s="15" t="s">
        <v>2</v>
      </c>
      <c r="C8" s="89" t="s">
        <v>3</v>
      </c>
      <c r="D8" s="89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4"/>
    </row>
    <row r="9" spans="1:57" ht="16.5" customHeight="1" x14ac:dyDescent="0.25">
      <c r="B9" s="16" t="s">
        <v>4</v>
      </c>
      <c r="C9" s="89" t="s">
        <v>5</v>
      </c>
      <c r="D9" s="89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4"/>
    </row>
    <row r="10" spans="1:57" ht="16.5" customHeight="1" x14ac:dyDescent="0.25">
      <c r="B10" s="16" t="s">
        <v>6</v>
      </c>
      <c r="C10" s="89" t="s">
        <v>5</v>
      </c>
      <c r="D10" s="89"/>
      <c r="F10" s="17" t="s">
        <v>7</v>
      </c>
      <c r="G10" s="18"/>
      <c r="H10" s="18"/>
      <c r="T10" s="13"/>
      <c r="U10" s="13"/>
      <c r="V10" s="13" t="s">
        <v>1</v>
      </c>
      <c r="W10" s="13"/>
      <c r="X10" s="13"/>
      <c r="Y10" s="13"/>
      <c r="Z10" s="13"/>
      <c r="AA10" s="13" t="s">
        <v>1</v>
      </c>
      <c r="AB10" s="13"/>
      <c r="AC10" s="13"/>
      <c r="AD10" s="13"/>
      <c r="AE10" s="13"/>
      <c r="AF10" s="13" t="s">
        <v>1</v>
      </c>
      <c r="AG10" s="13"/>
      <c r="AH10" s="13"/>
      <c r="AI10" s="13"/>
      <c r="AJ10" s="13"/>
      <c r="AK10" s="13" t="s">
        <v>1</v>
      </c>
      <c r="AL10" s="13"/>
      <c r="AM10" s="13"/>
      <c r="AN10" s="13"/>
      <c r="AO10" s="13"/>
      <c r="AP10" s="13" t="s">
        <v>1</v>
      </c>
      <c r="AQ10" s="13"/>
      <c r="AR10" s="13"/>
      <c r="AS10" s="13"/>
      <c r="AT10" s="13"/>
      <c r="AU10" s="13" t="s">
        <v>1</v>
      </c>
      <c r="AV10" s="13"/>
      <c r="AW10" s="13"/>
      <c r="AX10" s="13"/>
      <c r="AY10" s="13"/>
      <c r="AZ10" s="14"/>
    </row>
    <row r="11" spans="1:57" ht="16.5" customHeight="1" x14ac:dyDescent="0.25">
      <c r="B11" s="16" t="s">
        <v>8</v>
      </c>
      <c r="C11" s="87" t="s">
        <v>9</v>
      </c>
      <c r="D11" s="87"/>
      <c r="F11" s="19" t="s">
        <v>10</v>
      </c>
      <c r="G11" s="18"/>
      <c r="H11" s="18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20"/>
    </row>
    <row r="12" spans="1:57" ht="16.5" customHeight="1" x14ac:dyDescent="0.25">
      <c r="B12" s="21" t="s">
        <v>11</v>
      </c>
      <c r="C12" s="87" t="s">
        <v>12</v>
      </c>
      <c r="D12" s="87"/>
      <c r="F12" s="22" t="s">
        <v>13</v>
      </c>
      <c r="G12" s="18"/>
      <c r="H12" s="18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20"/>
    </row>
    <row r="13" spans="1:57" ht="16.5" customHeight="1" x14ac:dyDescent="0.25">
      <c r="B13" s="16" t="s">
        <v>14</v>
      </c>
      <c r="C13" s="86">
        <v>374000</v>
      </c>
      <c r="D13" s="86"/>
      <c r="F13" s="23" t="s">
        <v>15</v>
      </c>
      <c r="G13" s="18"/>
      <c r="H13" s="18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24"/>
    </row>
    <row r="14" spans="1:57" ht="16.5" customHeight="1" thickBot="1" x14ac:dyDescent="0.3">
      <c r="B14" s="25" t="s">
        <v>16</v>
      </c>
      <c r="C14" s="86">
        <f>BB27</f>
        <v>126532.5</v>
      </c>
      <c r="D14" s="86"/>
      <c r="G14" s="18"/>
      <c r="H14" s="18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4"/>
    </row>
    <row r="15" spans="1:57" x14ac:dyDescent="0.25"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</row>
    <row r="16" spans="1:57" ht="15" customHeight="1" x14ac:dyDescent="0.25">
      <c r="B16" s="85" t="s">
        <v>17</v>
      </c>
      <c r="C16" s="85"/>
      <c r="D16" s="85"/>
      <c r="E16" s="85"/>
      <c r="F16" s="85" t="s">
        <v>18</v>
      </c>
      <c r="G16" s="85"/>
      <c r="H16" s="85"/>
      <c r="I16" s="85"/>
      <c r="J16" s="85"/>
      <c r="K16" s="85"/>
      <c r="L16" s="27"/>
      <c r="M16" s="27"/>
      <c r="N16" s="27"/>
      <c r="O16" s="27"/>
      <c r="P16" s="27"/>
      <c r="Q16" s="62" t="s">
        <v>19</v>
      </c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4"/>
      <c r="AK16" s="83" t="s">
        <v>20</v>
      </c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5" t="s">
        <v>21</v>
      </c>
      <c r="AX16" s="85"/>
      <c r="AY16" s="85"/>
      <c r="AZ16" s="85"/>
      <c r="BA16" s="85"/>
      <c r="BB16" s="26"/>
      <c r="BC16" s="85" t="s">
        <v>22</v>
      </c>
      <c r="BD16" s="85"/>
      <c r="BE16" s="85"/>
    </row>
    <row r="17" spans="2:129" x14ac:dyDescent="0.25">
      <c r="B17" s="79" t="s">
        <v>23</v>
      </c>
      <c r="C17" s="79" t="s">
        <v>24</v>
      </c>
      <c r="D17" s="79" t="s">
        <v>25</v>
      </c>
      <c r="E17" s="79" t="s">
        <v>26</v>
      </c>
      <c r="F17" s="79" t="s">
        <v>27</v>
      </c>
      <c r="G17" s="79" t="s">
        <v>28</v>
      </c>
      <c r="H17" s="79" t="s">
        <v>29</v>
      </c>
      <c r="I17" s="79" t="s">
        <v>30</v>
      </c>
      <c r="J17" s="79" t="s">
        <v>31</v>
      </c>
      <c r="K17" s="79" t="s">
        <v>32</v>
      </c>
      <c r="L17" s="79" t="s">
        <v>33</v>
      </c>
      <c r="M17" s="79" t="s">
        <v>34</v>
      </c>
      <c r="N17" s="28" t="s">
        <v>35</v>
      </c>
      <c r="O17" s="28" t="s">
        <v>36</v>
      </c>
      <c r="P17" s="65" t="s">
        <v>37</v>
      </c>
      <c r="Q17" s="28" t="s">
        <v>38</v>
      </c>
      <c r="R17" s="28" t="s">
        <v>39</v>
      </c>
      <c r="S17" s="28" t="s">
        <v>40</v>
      </c>
      <c r="T17" s="28" t="s">
        <v>41</v>
      </c>
      <c r="U17" s="28" t="s">
        <v>35</v>
      </c>
      <c r="V17" s="28" t="s">
        <v>36</v>
      </c>
      <c r="W17" s="28" t="s">
        <v>37</v>
      </c>
      <c r="X17" s="28" t="s">
        <v>38</v>
      </c>
      <c r="Y17" s="28" t="s">
        <v>39</v>
      </c>
      <c r="Z17" s="28" t="s">
        <v>40</v>
      </c>
      <c r="AA17" s="28" t="s">
        <v>41</v>
      </c>
      <c r="AB17" s="28" t="s">
        <v>35</v>
      </c>
      <c r="AC17" s="28" t="s">
        <v>36</v>
      </c>
      <c r="AD17" s="28" t="s">
        <v>37</v>
      </c>
      <c r="AE17" s="28" t="s">
        <v>38</v>
      </c>
      <c r="AF17" s="28" t="s">
        <v>39</v>
      </c>
      <c r="AG17" s="28" t="s">
        <v>40</v>
      </c>
      <c r="AH17" s="28" t="s">
        <v>41</v>
      </c>
      <c r="AI17" s="28" t="s">
        <v>35</v>
      </c>
      <c r="AJ17" s="28" t="s">
        <v>36</v>
      </c>
      <c r="AK17" s="28" t="s">
        <v>37</v>
      </c>
      <c r="AL17" s="28" t="s">
        <v>38</v>
      </c>
      <c r="AM17" s="28" t="s">
        <v>39</v>
      </c>
      <c r="AN17" s="28" t="s">
        <v>40</v>
      </c>
      <c r="AO17" s="28" t="s">
        <v>41</v>
      </c>
      <c r="AP17" s="28" t="s">
        <v>35</v>
      </c>
      <c r="AQ17" s="28" t="s">
        <v>36</v>
      </c>
      <c r="AR17" s="28" t="s">
        <v>37</v>
      </c>
      <c r="AS17" s="28" t="s">
        <v>38</v>
      </c>
      <c r="AT17" s="28" t="s">
        <v>39</v>
      </c>
      <c r="AU17" s="28" t="s">
        <v>40</v>
      </c>
      <c r="AV17" s="28" t="s">
        <v>41</v>
      </c>
      <c r="AW17" s="79" t="s">
        <v>42</v>
      </c>
      <c r="AX17" s="79" t="s">
        <v>43</v>
      </c>
      <c r="AY17" s="79" t="s">
        <v>44</v>
      </c>
      <c r="AZ17" s="79" t="s">
        <v>45</v>
      </c>
      <c r="BA17" s="79" t="s">
        <v>46</v>
      </c>
      <c r="BB17" s="79" t="s">
        <v>47</v>
      </c>
      <c r="BC17" s="79" t="s">
        <v>34</v>
      </c>
      <c r="BD17" s="80" t="s">
        <v>48</v>
      </c>
      <c r="BE17" s="79" t="s">
        <v>49</v>
      </c>
    </row>
    <row r="18" spans="2:129" ht="15.95" customHeight="1" x14ac:dyDescent="0.25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60" t="s">
        <v>50</v>
      </c>
      <c r="O18" s="60" t="s">
        <v>51</v>
      </c>
      <c r="P18" s="60" t="s">
        <v>52</v>
      </c>
      <c r="Q18" s="29">
        <v>11</v>
      </c>
      <c r="R18" s="29">
        <v>12</v>
      </c>
      <c r="S18" s="29">
        <v>13</v>
      </c>
      <c r="T18" s="29">
        <v>14</v>
      </c>
      <c r="U18" s="29">
        <v>15</v>
      </c>
      <c r="V18" s="29">
        <v>16</v>
      </c>
      <c r="W18" s="29">
        <v>17</v>
      </c>
      <c r="X18" s="29">
        <v>18</v>
      </c>
      <c r="Y18" s="29">
        <v>19</v>
      </c>
      <c r="Z18" s="29">
        <v>20</v>
      </c>
      <c r="AA18" s="29">
        <v>21</v>
      </c>
      <c r="AB18" s="29">
        <v>22</v>
      </c>
      <c r="AC18" s="29">
        <v>23</v>
      </c>
      <c r="AD18" s="29">
        <v>24</v>
      </c>
      <c r="AE18" s="29">
        <v>25</v>
      </c>
      <c r="AF18" s="29">
        <v>26</v>
      </c>
      <c r="AG18" s="29">
        <v>27</v>
      </c>
      <c r="AH18" s="29">
        <v>28</v>
      </c>
      <c r="AI18" s="29">
        <v>29</v>
      </c>
      <c r="AJ18" s="29">
        <v>30</v>
      </c>
      <c r="AK18" s="29">
        <v>1</v>
      </c>
      <c r="AL18" s="29">
        <v>2</v>
      </c>
      <c r="AM18" s="29">
        <v>3</v>
      </c>
      <c r="AN18" s="29">
        <v>4</v>
      </c>
      <c r="AO18" s="29">
        <v>5</v>
      </c>
      <c r="AP18" s="29">
        <v>6</v>
      </c>
      <c r="AQ18" s="29">
        <v>7</v>
      </c>
      <c r="AR18" s="29">
        <v>8</v>
      </c>
      <c r="AS18" s="29">
        <v>9</v>
      </c>
      <c r="AT18" s="29">
        <v>10</v>
      </c>
      <c r="AU18" s="29">
        <v>11</v>
      </c>
      <c r="AV18" s="29">
        <v>12</v>
      </c>
      <c r="AW18" s="79"/>
      <c r="AX18" s="79"/>
      <c r="AY18" s="79"/>
      <c r="AZ18" s="79"/>
      <c r="BA18" s="79"/>
      <c r="BB18" s="79"/>
      <c r="BC18" s="79"/>
      <c r="BD18" s="81"/>
      <c r="BE18" s="79"/>
    </row>
    <row r="19" spans="2:129" s="6" customFormat="1" ht="22.35" customHeight="1" x14ac:dyDescent="0.25">
      <c r="B19" s="30" t="s">
        <v>53</v>
      </c>
      <c r="C19" s="31" t="s">
        <v>54</v>
      </c>
      <c r="D19" s="31" t="s">
        <v>55</v>
      </c>
      <c r="E19" s="31" t="s">
        <v>56</v>
      </c>
      <c r="F19" s="32" t="s">
        <v>57</v>
      </c>
      <c r="G19" s="33" t="s">
        <v>58</v>
      </c>
      <c r="H19" s="34">
        <v>39</v>
      </c>
      <c r="I19" s="33" t="s">
        <v>59</v>
      </c>
      <c r="J19" s="35" t="s">
        <v>60</v>
      </c>
      <c r="K19" s="36">
        <v>1</v>
      </c>
      <c r="L19" s="37" t="s">
        <v>61</v>
      </c>
      <c r="M19" s="37" t="s">
        <v>62</v>
      </c>
      <c r="N19" s="37"/>
      <c r="O19" s="37"/>
      <c r="P19" s="37"/>
      <c r="Q19" s="38"/>
      <c r="R19" s="38"/>
      <c r="S19" s="38"/>
      <c r="T19" s="38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39">
        <v>130000</v>
      </c>
      <c r="AX19" s="40">
        <f>AW19*0.85</f>
        <v>110500</v>
      </c>
      <c r="AY19" s="40">
        <f>AX19*10%</f>
        <v>11050</v>
      </c>
      <c r="AZ19" s="40">
        <f>AX19*0.001</f>
        <v>110.5</v>
      </c>
      <c r="BA19" s="41">
        <v>4872</v>
      </c>
      <c r="BB19" s="41">
        <f>SUM(AX19:BA19)</f>
        <v>126532.5</v>
      </c>
      <c r="BC19" s="37" t="s">
        <v>63</v>
      </c>
      <c r="BD19" s="66" t="s">
        <v>64</v>
      </c>
      <c r="BE19" s="59" t="s">
        <v>65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</row>
    <row r="20" spans="2:129" x14ac:dyDescent="0.25">
      <c r="B20" s="42" t="s">
        <v>66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4">
        <f t="shared" ref="AW20:BB20" si="0">SUM(AW19:AW19)</f>
        <v>130000</v>
      </c>
      <c r="AX20" s="44">
        <f t="shared" si="0"/>
        <v>110500</v>
      </c>
      <c r="AY20" s="44">
        <f t="shared" si="0"/>
        <v>11050</v>
      </c>
      <c r="AZ20" s="44">
        <f t="shared" si="0"/>
        <v>110.5</v>
      </c>
      <c r="BA20" s="44">
        <f t="shared" si="0"/>
        <v>4872</v>
      </c>
      <c r="BB20" s="44">
        <f t="shared" si="0"/>
        <v>126532.5</v>
      </c>
      <c r="BC20" s="82"/>
      <c r="BD20" s="82"/>
      <c r="BE20" s="82"/>
    </row>
    <row r="21" spans="2:129" x14ac:dyDescent="0.25">
      <c r="B21" s="3" t="s">
        <v>67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7"/>
      <c r="BA21" s="7"/>
      <c r="BB21" s="7"/>
      <c r="BC21" s="7"/>
      <c r="BD21" s="7"/>
      <c r="BE21" s="7"/>
      <c r="BF21" s="7"/>
    </row>
    <row r="22" spans="2:129" x14ac:dyDescent="0.25">
      <c r="B22" s="3" t="s">
        <v>68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45" t="s">
        <v>69</v>
      </c>
      <c r="BA22" s="46"/>
      <c r="BB22" s="47">
        <f>AW20</f>
        <v>130000</v>
      </c>
      <c r="BF22" s="48"/>
      <c r="BG22" s="8"/>
    </row>
    <row r="23" spans="2:129" x14ac:dyDescent="0.25">
      <c r="B23" s="3" t="s">
        <v>70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45" t="s">
        <v>71</v>
      </c>
      <c r="BA23" s="46"/>
      <c r="BB23" s="47">
        <f>AX20</f>
        <v>110500</v>
      </c>
      <c r="BF23" s="48"/>
    </row>
    <row r="24" spans="2:129" x14ac:dyDescent="0.25"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45" t="s">
        <v>72</v>
      </c>
      <c r="BA24" s="46"/>
      <c r="BB24" s="47">
        <f>BB23*0.001</f>
        <v>110.5</v>
      </c>
      <c r="BF24" s="48"/>
    </row>
    <row r="25" spans="2:129" x14ac:dyDescent="0.25">
      <c r="B25" s="9" t="s">
        <v>73</v>
      </c>
      <c r="D25" s="3" t="s">
        <v>1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45" t="s">
        <v>74</v>
      </c>
      <c r="BA25" s="46"/>
      <c r="BB25" s="47">
        <f>BA20</f>
        <v>4872</v>
      </c>
      <c r="BF25" s="48"/>
    </row>
    <row r="26" spans="2:129" ht="15.75" x14ac:dyDescent="0.25">
      <c r="B26" s="61" t="s">
        <v>75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45" t="s">
        <v>76</v>
      </c>
      <c r="BA26" s="46"/>
      <c r="BB26" s="47">
        <f>(BB23)*10%</f>
        <v>11050</v>
      </c>
      <c r="BF26" s="48"/>
    </row>
    <row r="27" spans="2:129" x14ac:dyDescent="0.25">
      <c r="S27" s="10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49" t="s">
        <v>77</v>
      </c>
      <c r="BA27" s="50"/>
      <c r="BB27" s="51">
        <f>SUM(BB23:BB26)</f>
        <v>126532.5</v>
      </c>
      <c r="BF27" s="52"/>
    </row>
    <row r="28" spans="2:129" x14ac:dyDescent="0.25">
      <c r="S28" s="1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7"/>
    </row>
    <row r="29" spans="2:129" x14ac:dyDescent="0.25"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7"/>
      <c r="BA29" s="11"/>
      <c r="BB29" s="11"/>
      <c r="BC29" s="11"/>
      <c r="BD29" s="11"/>
    </row>
    <row r="30" spans="2:129" x14ac:dyDescent="0.25"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</row>
    <row r="31" spans="2:129" x14ac:dyDescent="0.25"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</row>
    <row r="32" spans="2:129" x14ac:dyDescent="0.25"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</row>
    <row r="33" s="3" customFormat="1" x14ac:dyDescent="0.25"/>
    <row r="34" s="3" customFormat="1" x14ac:dyDescent="0.25"/>
  </sheetData>
  <mergeCells count="36">
    <mergeCell ref="C12:D12"/>
    <mergeCell ref="B7:D7"/>
    <mergeCell ref="C8:D8"/>
    <mergeCell ref="C9:D9"/>
    <mergeCell ref="C10:D10"/>
    <mergeCell ref="C11:D11"/>
    <mergeCell ref="C13:D13"/>
    <mergeCell ref="C14:D14"/>
    <mergeCell ref="B16:E16"/>
    <mergeCell ref="F16:H16"/>
    <mergeCell ref="I16:K16"/>
    <mergeCell ref="M17:M18"/>
    <mergeCell ref="AK16:AV16"/>
    <mergeCell ref="AW16:BA16"/>
    <mergeCell ref="BC16:BE16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BC17:BC18"/>
    <mergeCell ref="BE17:BE18"/>
    <mergeCell ref="BD17:BD18"/>
    <mergeCell ref="BC20:BE20"/>
    <mergeCell ref="AW17:AW18"/>
    <mergeCell ref="AX17:AX18"/>
    <mergeCell ref="AY17:AY18"/>
    <mergeCell ref="AZ17:AZ18"/>
    <mergeCell ref="BA17:BA18"/>
    <mergeCell ref="BB17:BB18"/>
  </mergeCells>
  <hyperlinks>
    <hyperlink ref="BE19" r:id="rId1" xr:uid="{6C8AB970-28FD-3C49-8DDB-6F729BB73B15}"/>
    <hyperlink ref="B26" r:id="rId2" xr:uid="{5C9B28F7-4E98-7A41-8641-FA3FFA6E9B65}"/>
    <hyperlink ref="BD19" r:id="rId3" xr:uid="{E3794205-E057-BE4D-AFFE-36AA496A6F9A}"/>
  </hyperlinks>
  <pageMargins left="0.7" right="0.7" top="0.75" bottom="0.75" header="0.3" footer="0.3"/>
  <headerFooter>
    <oddFooter>&amp;C_x000D_&amp;1#&amp;"Aptos"&amp;10&amp;K000000 Confidential - Not for Public Consumption or Distribution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0F59-D293-B146-A349-71C44C956592}">
  <dimension ref="P3:R5"/>
  <sheetViews>
    <sheetView showGridLines="0" topLeftCell="E1" workbookViewId="0">
      <selection activeCell="Q5" sqref="Q5"/>
    </sheetView>
  </sheetViews>
  <sheetFormatPr defaultColWidth="10.625" defaultRowHeight="15.75" x14ac:dyDescent="0.25"/>
  <cols>
    <col min="16" max="16" width="22.625" bestFit="1" customWidth="1"/>
    <col min="17" max="17" width="28.875" bestFit="1" customWidth="1"/>
    <col min="18" max="18" width="64.875" bestFit="1" customWidth="1"/>
  </cols>
  <sheetData>
    <row r="3" spans="16:18" x14ac:dyDescent="0.25">
      <c r="P3" s="79" t="s">
        <v>34</v>
      </c>
      <c r="Q3" s="80" t="s">
        <v>48</v>
      </c>
      <c r="R3" s="79" t="s">
        <v>49</v>
      </c>
    </row>
    <row r="4" spans="16:18" x14ac:dyDescent="0.25">
      <c r="P4" s="79"/>
      <c r="Q4" s="81"/>
      <c r="R4" s="79"/>
    </row>
    <row r="5" spans="16:18" x14ac:dyDescent="0.25">
      <c r="P5" s="37" t="s">
        <v>63</v>
      </c>
      <c r="Q5" s="66" t="s">
        <v>64</v>
      </c>
      <c r="R5" s="59" t="s">
        <v>65</v>
      </c>
    </row>
  </sheetData>
  <mergeCells count="3">
    <mergeCell ref="P3:P4"/>
    <mergeCell ref="Q3:Q4"/>
    <mergeCell ref="R3:R4"/>
  </mergeCells>
  <hyperlinks>
    <hyperlink ref="R5" r:id="rId1" xr:uid="{EA607BEF-C35E-154D-9161-D238CB667178}"/>
    <hyperlink ref="Q5" r:id="rId2" xr:uid="{85FBDA2B-04DC-3C49-B4CA-8D7CE74A0C9D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58142-5A1C-4300-9A6D-374EC2F0B616}">
  <dimension ref="A1:S40"/>
  <sheetViews>
    <sheetView showGridLines="0" workbookViewId="0">
      <selection activeCell="J2" sqref="J2:J40"/>
    </sheetView>
  </sheetViews>
  <sheetFormatPr defaultColWidth="30.875" defaultRowHeight="15" x14ac:dyDescent="0.25"/>
  <cols>
    <col min="1" max="1" width="30.625" style="1" bestFit="1" customWidth="1"/>
    <col min="2" max="2" width="57.875" style="1" bestFit="1" customWidth="1"/>
    <col min="3" max="3" width="17.375" style="1" bestFit="1" customWidth="1"/>
    <col min="4" max="4" width="12.875" style="1" bestFit="1" customWidth="1"/>
    <col min="5" max="5" width="5.875" style="1" bestFit="1" customWidth="1"/>
    <col min="6" max="6" width="8.125" style="1" bestFit="1" customWidth="1"/>
    <col min="7" max="7" width="18" style="1" bestFit="1" customWidth="1"/>
    <col min="8" max="9" width="10.5" style="2" bestFit="1" customWidth="1"/>
    <col min="10" max="10" width="14.375" style="1" bestFit="1" customWidth="1"/>
    <col min="11" max="11" width="10" style="1" bestFit="1" customWidth="1"/>
    <col min="12" max="12" width="7" style="1" bestFit="1" customWidth="1"/>
    <col min="13" max="13" width="11.5" style="1" bestFit="1" customWidth="1"/>
    <col min="14" max="14" width="8.125" style="1" bestFit="1" customWidth="1"/>
    <col min="15" max="15" width="10.875" style="1" bestFit="1" customWidth="1"/>
    <col min="16" max="16" width="23.125" style="1" bestFit="1" customWidth="1"/>
    <col min="17" max="17" width="8.125" style="1" bestFit="1" customWidth="1"/>
    <col min="18" max="18" width="11.875" style="1" bestFit="1" customWidth="1"/>
    <col min="19" max="19" width="9.875" style="1" bestFit="1" customWidth="1"/>
    <col min="20" max="16384" width="30.875" style="1"/>
  </cols>
  <sheetData>
    <row r="1" spans="1:19" ht="17.25" thickTop="1" thickBot="1" x14ac:dyDescent="0.3">
      <c r="A1" s="53" t="s">
        <v>78</v>
      </c>
      <c r="B1" s="53" t="s">
        <v>79</v>
      </c>
      <c r="C1" s="53" t="s">
        <v>80</v>
      </c>
      <c r="D1" s="53" t="s">
        <v>81</v>
      </c>
      <c r="E1" s="53" t="s">
        <v>82</v>
      </c>
      <c r="F1" s="53" t="s">
        <v>25</v>
      </c>
      <c r="G1" s="53" t="s">
        <v>83</v>
      </c>
      <c r="H1" s="54" t="s">
        <v>84</v>
      </c>
      <c r="I1" s="54" t="s">
        <v>85</v>
      </c>
      <c r="J1" s="53" t="s">
        <v>86</v>
      </c>
      <c r="K1" s="53" t="s">
        <v>87</v>
      </c>
      <c r="L1" s="53" t="s">
        <v>88</v>
      </c>
      <c r="M1" s="53" t="s">
        <v>24</v>
      </c>
      <c r="N1" s="53" t="s">
        <v>89</v>
      </c>
      <c r="O1" s="53" t="s">
        <v>90</v>
      </c>
      <c r="P1" s="53" t="s">
        <v>91</v>
      </c>
      <c r="Q1" s="53" t="s">
        <v>92</v>
      </c>
      <c r="R1" s="53" t="s">
        <v>93</v>
      </c>
      <c r="S1" s="53" t="s">
        <v>94</v>
      </c>
    </row>
    <row r="2" spans="1:19" ht="16.5" thickTop="1" x14ac:dyDescent="0.25">
      <c r="A2" s="55" t="s">
        <v>95</v>
      </c>
      <c r="B2" s="56" t="s">
        <v>96</v>
      </c>
      <c r="C2" s="56" t="s">
        <v>97</v>
      </c>
      <c r="D2" s="56" t="s">
        <v>98</v>
      </c>
      <c r="E2" s="56" t="s">
        <v>99</v>
      </c>
      <c r="F2" s="56" t="s">
        <v>100</v>
      </c>
      <c r="G2" s="56" t="s">
        <v>101</v>
      </c>
      <c r="H2" s="57">
        <v>46188</v>
      </c>
      <c r="I2" s="57">
        <v>46215</v>
      </c>
      <c r="J2" s="56" t="s">
        <v>102</v>
      </c>
      <c r="K2" s="56" t="s">
        <v>103</v>
      </c>
      <c r="L2" s="56" t="s">
        <v>104</v>
      </c>
      <c r="M2" s="56" t="s">
        <v>105</v>
      </c>
      <c r="N2" s="56">
        <v>51.415100000000002</v>
      </c>
      <c r="O2" s="56">
        <v>-0.19269800000000001</v>
      </c>
      <c r="P2" s="56" t="s">
        <v>106</v>
      </c>
      <c r="Q2" s="56">
        <v>1</v>
      </c>
      <c r="R2" s="56" t="s">
        <v>107</v>
      </c>
      <c r="S2" s="58" t="s">
        <v>108</v>
      </c>
    </row>
    <row r="3" spans="1:19" ht="15.75" x14ac:dyDescent="0.25">
      <c r="A3" s="55" t="s">
        <v>95</v>
      </c>
      <c r="B3" s="56" t="s">
        <v>109</v>
      </c>
      <c r="C3" s="56" t="s">
        <v>110</v>
      </c>
      <c r="D3" s="56" t="s">
        <v>111</v>
      </c>
      <c r="E3" s="56" t="s">
        <v>99</v>
      </c>
      <c r="F3" s="56" t="s">
        <v>100</v>
      </c>
      <c r="G3" s="56" t="s">
        <v>101</v>
      </c>
      <c r="H3" s="57">
        <v>46188</v>
      </c>
      <c r="I3" s="57">
        <v>46215</v>
      </c>
      <c r="J3" s="56" t="s">
        <v>112</v>
      </c>
      <c r="K3" s="56" t="s">
        <v>113</v>
      </c>
      <c r="L3" s="56" t="s">
        <v>104</v>
      </c>
      <c r="M3" s="56" t="s">
        <v>105</v>
      </c>
      <c r="N3" s="56">
        <v>51.427799999999998</v>
      </c>
      <c r="O3" s="56">
        <v>-0.168077</v>
      </c>
      <c r="P3" s="56" t="s">
        <v>114</v>
      </c>
      <c r="Q3" s="56">
        <v>1</v>
      </c>
      <c r="R3" s="56" t="s">
        <v>107</v>
      </c>
      <c r="S3" s="58" t="s">
        <v>108</v>
      </c>
    </row>
    <row r="4" spans="1:19" ht="15.75" x14ac:dyDescent="0.25">
      <c r="A4" s="55" t="s">
        <v>95</v>
      </c>
      <c r="B4" s="56" t="s">
        <v>115</v>
      </c>
      <c r="C4" s="56" t="s">
        <v>116</v>
      </c>
      <c r="D4" s="56" t="s">
        <v>117</v>
      </c>
      <c r="E4" s="56" t="s">
        <v>99</v>
      </c>
      <c r="F4" s="56" t="s">
        <v>100</v>
      </c>
      <c r="G4" s="56" t="s">
        <v>101</v>
      </c>
      <c r="H4" s="57">
        <v>46188</v>
      </c>
      <c r="I4" s="57">
        <v>46215</v>
      </c>
      <c r="J4" s="56" t="s">
        <v>118</v>
      </c>
      <c r="K4" s="56" t="s">
        <v>119</v>
      </c>
      <c r="L4" s="56" t="s">
        <v>104</v>
      </c>
      <c r="M4" s="56" t="s">
        <v>105</v>
      </c>
      <c r="N4" s="56">
        <v>51.502600000000001</v>
      </c>
      <c r="O4" s="56">
        <v>-0.15401100000000001</v>
      </c>
      <c r="P4" s="56" t="s">
        <v>120</v>
      </c>
      <c r="Q4" s="56">
        <v>1</v>
      </c>
      <c r="R4" s="56" t="s">
        <v>107</v>
      </c>
      <c r="S4" s="58" t="s">
        <v>108</v>
      </c>
    </row>
    <row r="5" spans="1:19" ht="15.75" x14ac:dyDescent="0.25">
      <c r="A5" s="55" t="s">
        <v>95</v>
      </c>
      <c r="B5" s="56" t="s">
        <v>121</v>
      </c>
      <c r="C5" s="56" t="s">
        <v>122</v>
      </c>
      <c r="D5" s="56" t="s">
        <v>123</v>
      </c>
      <c r="E5" s="56" t="s">
        <v>99</v>
      </c>
      <c r="F5" s="56" t="s">
        <v>100</v>
      </c>
      <c r="G5" s="56" t="s">
        <v>101</v>
      </c>
      <c r="H5" s="57">
        <v>46188</v>
      </c>
      <c r="I5" s="57">
        <v>46215</v>
      </c>
      <c r="J5" s="56" t="s">
        <v>124</v>
      </c>
      <c r="K5" s="56" t="s">
        <v>125</v>
      </c>
      <c r="L5" s="56" t="s">
        <v>104</v>
      </c>
      <c r="M5" s="56" t="s">
        <v>105</v>
      </c>
      <c r="N5" s="56">
        <v>51.597999999999999</v>
      </c>
      <c r="O5" s="56">
        <v>-0.110195</v>
      </c>
      <c r="P5" s="56" t="s">
        <v>126</v>
      </c>
      <c r="Q5" s="56">
        <v>1</v>
      </c>
      <c r="R5" s="56" t="s">
        <v>107</v>
      </c>
      <c r="S5" s="58" t="s">
        <v>108</v>
      </c>
    </row>
    <row r="6" spans="1:19" ht="15.75" x14ac:dyDescent="0.25">
      <c r="A6" s="55" t="s">
        <v>95</v>
      </c>
      <c r="B6" s="56" t="s">
        <v>127</v>
      </c>
      <c r="C6" s="56" t="s">
        <v>116</v>
      </c>
      <c r="D6" s="56" t="s">
        <v>128</v>
      </c>
      <c r="E6" s="56" t="s">
        <v>99</v>
      </c>
      <c r="F6" s="56" t="s">
        <v>100</v>
      </c>
      <c r="G6" s="56" t="s">
        <v>101</v>
      </c>
      <c r="H6" s="57">
        <v>46188</v>
      </c>
      <c r="I6" s="57">
        <v>46215</v>
      </c>
      <c r="J6" s="56" t="s">
        <v>129</v>
      </c>
      <c r="K6" s="56" t="s">
        <v>130</v>
      </c>
      <c r="L6" s="56" t="s">
        <v>104</v>
      </c>
      <c r="M6" s="56" t="s">
        <v>105</v>
      </c>
      <c r="N6" s="56">
        <v>51.523099999999999</v>
      </c>
      <c r="O6" s="56">
        <v>-0.146262</v>
      </c>
      <c r="P6" s="56" t="s">
        <v>131</v>
      </c>
      <c r="Q6" s="56">
        <v>1</v>
      </c>
      <c r="R6" s="56" t="s">
        <v>107</v>
      </c>
      <c r="S6" s="58" t="s">
        <v>108</v>
      </c>
    </row>
    <row r="7" spans="1:19" ht="15.75" x14ac:dyDescent="0.25">
      <c r="A7" s="55" t="s">
        <v>95</v>
      </c>
      <c r="B7" s="56" t="s">
        <v>109</v>
      </c>
      <c r="C7" s="56" t="s">
        <v>132</v>
      </c>
      <c r="D7" s="56" t="s">
        <v>133</v>
      </c>
      <c r="E7" s="56" t="s">
        <v>99</v>
      </c>
      <c r="F7" s="56" t="s">
        <v>100</v>
      </c>
      <c r="G7" s="56" t="s">
        <v>101</v>
      </c>
      <c r="H7" s="57">
        <v>46188</v>
      </c>
      <c r="I7" s="57">
        <v>46215</v>
      </c>
      <c r="J7" s="56" t="s">
        <v>134</v>
      </c>
      <c r="K7" s="56" t="s">
        <v>135</v>
      </c>
      <c r="L7" s="56" t="s">
        <v>104</v>
      </c>
      <c r="M7" s="56" t="s">
        <v>105</v>
      </c>
      <c r="N7" s="56">
        <v>51.479599999999998</v>
      </c>
      <c r="O7" s="56">
        <v>-0.12886400000000001</v>
      </c>
      <c r="P7" s="56" t="s">
        <v>136</v>
      </c>
      <c r="Q7" s="56">
        <v>1</v>
      </c>
      <c r="R7" s="56" t="s">
        <v>107</v>
      </c>
      <c r="S7" s="58" t="s">
        <v>108</v>
      </c>
    </row>
    <row r="8" spans="1:19" ht="15.75" x14ac:dyDescent="0.25">
      <c r="A8" s="55" t="s">
        <v>95</v>
      </c>
      <c r="B8" s="56" t="s">
        <v>137</v>
      </c>
      <c r="C8" s="56" t="s">
        <v>138</v>
      </c>
      <c r="D8" s="56" t="s">
        <v>139</v>
      </c>
      <c r="E8" s="56" t="s">
        <v>99</v>
      </c>
      <c r="F8" s="56" t="s">
        <v>100</v>
      </c>
      <c r="G8" s="56" t="s">
        <v>140</v>
      </c>
      <c r="H8" s="57">
        <v>46188</v>
      </c>
      <c r="I8" s="57">
        <v>46215</v>
      </c>
      <c r="J8" s="56" t="s">
        <v>141</v>
      </c>
      <c r="K8" s="56" t="s">
        <v>142</v>
      </c>
      <c r="L8" s="56" t="s">
        <v>104</v>
      </c>
      <c r="M8" s="56" t="s">
        <v>105</v>
      </c>
      <c r="N8" s="56">
        <v>51.546900000000001</v>
      </c>
      <c r="O8" s="56">
        <v>-0.20456299999999999</v>
      </c>
      <c r="P8" s="56" t="s">
        <v>143</v>
      </c>
      <c r="Q8" s="56">
        <v>1</v>
      </c>
      <c r="R8" s="56" t="s">
        <v>107</v>
      </c>
      <c r="S8" s="58" t="s">
        <v>108</v>
      </c>
    </row>
    <row r="9" spans="1:19" ht="15.75" x14ac:dyDescent="0.25">
      <c r="A9" s="55" t="s">
        <v>95</v>
      </c>
      <c r="B9" s="56" t="s">
        <v>144</v>
      </c>
      <c r="C9" s="56" t="s">
        <v>132</v>
      </c>
      <c r="D9" s="56" t="s">
        <v>145</v>
      </c>
      <c r="E9" s="56" t="s">
        <v>99</v>
      </c>
      <c r="F9" s="56" t="s">
        <v>100</v>
      </c>
      <c r="G9" s="56" t="s">
        <v>140</v>
      </c>
      <c r="H9" s="57">
        <v>46188</v>
      </c>
      <c r="I9" s="57">
        <v>46215</v>
      </c>
      <c r="J9" s="56" t="s">
        <v>146</v>
      </c>
      <c r="K9" s="56" t="s">
        <v>147</v>
      </c>
      <c r="L9" s="56" t="s">
        <v>104</v>
      </c>
      <c r="M9" s="56" t="s">
        <v>105</v>
      </c>
      <c r="N9" s="56">
        <v>51.481499999999997</v>
      </c>
      <c r="O9" s="56">
        <v>-0.11281099999999999</v>
      </c>
      <c r="P9" s="56" t="s">
        <v>148</v>
      </c>
      <c r="Q9" s="56">
        <v>1</v>
      </c>
      <c r="R9" s="56" t="s">
        <v>107</v>
      </c>
      <c r="S9" s="58" t="s">
        <v>108</v>
      </c>
    </row>
    <row r="10" spans="1:19" ht="15.75" x14ac:dyDescent="0.25">
      <c r="A10" s="55" t="s">
        <v>95</v>
      </c>
      <c r="B10" s="56" t="s">
        <v>115</v>
      </c>
      <c r="C10" s="56" t="s">
        <v>149</v>
      </c>
      <c r="D10" s="56" t="s">
        <v>150</v>
      </c>
      <c r="E10" s="56" t="s">
        <v>99</v>
      </c>
      <c r="F10" s="56" t="s">
        <v>100</v>
      </c>
      <c r="G10" s="56" t="s">
        <v>140</v>
      </c>
      <c r="H10" s="57">
        <v>46188</v>
      </c>
      <c r="I10" s="57">
        <v>46215</v>
      </c>
      <c r="J10" s="56" t="s">
        <v>151</v>
      </c>
      <c r="K10" s="56" t="s">
        <v>152</v>
      </c>
      <c r="L10" s="56" t="s">
        <v>104</v>
      </c>
      <c r="M10" s="56" t="s">
        <v>105</v>
      </c>
      <c r="N10" s="56">
        <v>51.523499999999999</v>
      </c>
      <c r="O10" s="56">
        <v>-0.124415</v>
      </c>
      <c r="P10" s="56" t="s">
        <v>153</v>
      </c>
      <c r="Q10" s="56">
        <v>1</v>
      </c>
      <c r="R10" s="56" t="s">
        <v>107</v>
      </c>
      <c r="S10" s="58" t="s">
        <v>108</v>
      </c>
    </row>
    <row r="11" spans="1:19" ht="15.75" x14ac:dyDescent="0.25">
      <c r="A11" s="55" t="s">
        <v>95</v>
      </c>
      <c r="B11" s="56" t="s">
        <v>154</v>
      </c>
      <c r="C11" s="56" t="s">
        <v>155</v>
      </c>
      <c r="D11" s="56" t="s">
        <v>156</v>
      </c>
      <c r="E11" s="56" t="s">
        <v>99</v>
      </c>
      <c r="F11" s="56" t="s">
        <v>100</v>
      </c>
      <c r="G11" s="56" t="s">
        <v>140</v>
      </c>
      <c r="H11" s="57">
        <v>46188</v>
      </c>
      <c r="I11" s="57">
        <v>46215</v>
      </c>
      <c r="J11" s="56" t="s">
        <v>157</v>
      </c>
      <c r="K11" s="56" t="s">
        <v>158</v>
      </c>
      <c r="L11" s="56" t="s">
        <v>104</v>
      </c>
      <c r="M11" s="56" t="s">
        <v>105</v>
      </c>
      <c r="N11" s="56">
        <v>51.631799999999998</v>
      </c>
      <c r="O11" s="56">
        <v>-0.12845000000000001</v>
      </c>
      <c r="P11" s="56" t="s">
        <v>159</v>
      </c>
      <c r="Q11" s="56">
        <v>1</v>
      </c>
      <c r="R11" s="56" t="s">
        <v>107</v>
      </c>
      <c r="S11" s="58" t="s">
        <v>108</v>
      </c>
    </row>
    <row r="12" spans="1:19" ht="15.75" x14ac:dyDescent="0.25">
      <c r="A12" s="55" t="s">
        <v>95</v>
      </c>
      <c r="B12" s="56" t="s">
        <v>160</v>
      </c>
      <c r="C12" s="56" t="s">
        <v>132</v>
      </c>
      <c r="D12" s="56" t="s">
        <v>161</v>
      </c>
      <c r="E12" s="56" t="s">
        <v>99</v>
      </c>
      <c r="F12" s="56" t="s">
        <v>100</v>
      </c>
      <c r="G12" s="56" t="s">
        <v>101</v>
      </c>
      <c r="H12" s="57">
        <v>46188</v>
      </c>
      <c r="I12" s="57">
        <v>46215</v>
      </c>
      <c r="J12" s="56" t="s">
        <v>162</v>
      </c>
      <c r="K12" s="56" t="s">
        <v>163</v>
      </c>
      <c r="L12" s="56" t="s">
        <v>104</v>
      </c>
      <c r="M12" s="56" t="s">
        <v>105</v>
      </c>
      <c r="N12" s="56">
        <v>51.471299999999999</v>
      </c>
      <c r="O12" s="56">
        <v>-0.123193</v>
      </c>
      <c r="P12" s="56" t="s">
        <v>164</v>
      </c>
      <c r="Q12" s="56">
        <v>1</v>
      </c>
      <c r="R12" s="56" t="s">
        <v>107</v>
      </c>
      <c r="S12" s="58" t="s">
        <v>108</v>
      </c>
    </row>
    <row r="13" spans="1:19" ht="15.75" x14ac:dyDescent="0.25">
      <c r="A13" s="55" t="s">
        <v>95</v>
      </c>
      <c r="B13" s="56" t="s">
        <v>144</v>
      </c>
      <c r="C13" s="56" t="s">
        <v>110</v>
      </c>
      <c r="D13" s="56" t="s">
        <v>165</v>
      </c>
      <c r="E13" s="56" t="s">
        <v>99</v>
      </c>
      <c r="F13" s="56" t="s">
        <v>100</v>
      </c>
      <c r="G13" s="56" t="s">
        <v>101</v>
      </c>
      <c r="H13" s="57">
        <v>46188</v>
      </c>
      <c r="I13" s="57">
        <v>46215</v>
      </c>
      <c r="J13" s="56" t="s">
        <v>166</v>
      </c>
      <c r="K13" s="56" t="s">
        <v>167</v>
      </c>
      <c r="L13" s="56" t="s">
        <v>104</v>
      </c>
      <c r="M13" s="56" t="s">
        <v>105</v>
      </c>
      <c r="N13" s="56">
        <v>51.436100000000003</v>
      </c>
      <c r="O13" s="56">
        <v>-0.159025</v>
      </c>
      <c r="P13" s="56" t="s">
        <v>168</v>
      </c>
      <c r="Q13" s="56">
        <v>1</v>
      </c>
      <c r="R13" s="56" t="s">
        <v>107</v>
      </c>
      <c r="S13" s="58" t="s">
        <v>108</v>
      </c>
    </row>
    <row r="14" spans="1:19" ht="15.75" x14ac:dyDescent="0.25">
      <c r="A14" s="55" t="s">
        <v>95</v>
      </c>
      <c r="B14" s="56" t="s">
        <v>169</v>
      </c>
      <c r="C14" s="56" t="s">
        <v>122</v>
      </c>
      <c r="D14" s="56" t="s">
        <v>170</v>
      </c>
      <c r="E14" s="56" t="s">
        <v>99</v>
      </c>
      <c r="F14" s="56" t="s">
        <v>100</v>
      </c>
      <c r="G14" s="56" t="s">
        <v>140</v>
      </c>
      <c r="H14" s="57">
        <v>46188</v>
      </c>
      <c r="I14" s="57">
        <v>46215</v>
      </c>
      <c r="J14" s="56" t="s">
        <v>171</v>
      </c>
      <c r="K14" s="56" t="s">
        <v>172</v>
      </c>
      <c r="L14" s="56" t="s">
        <v>104</v>
      </c>
      <c r="M14" s="56" t="s">
        <v>105</v>
      </c>
      <c r="N14" s="56">
        <v>51.587899999999998</v>
      </c>
      <c r="O14" s="56">
        <v>-6.1744899999999998E-2</v>
      </c>
      <c r="P14" s="56" t="s">
        <v>173</v>
      </c>
      <c r="Q14" s="56">
        <v>1</v>
      </c>
      <c r="R14" s="56" t="s">
        <v>107</v>
      </c>
      <c r="S14" s="58" t="s">
        <v>108</v>
      </c>
    </row>
    <row r="15" spans="1:19" ht="15.75" x14ac:dyDescent="0.25">
      <c r="A15" s="55" t="s">
        <v>95</v>
      </c>
      <c r="B15" s="56" t="s">
        <v>174</v>
      </c>
      <c r="C15" s="56" t="s">
        <v>175</v>
      </c>
      <c r="D15" s="56" t="s">
        <v>176</v>
      </c>
      <c r="E15" s="56" t="s">
        <v>99</v>
      </c>
      <c r="F15" s="56" t="s">
        <v>100</v>
      </c>
      <c r="G15" s="56" t="s">
        <v>101</v>
      </c>
      <c r="H15" s="57">
        <v>46188</v>
      </c>
      <c r="I15" s="57">
        <v>46215</v>
      </c>
      <c r="J15" s="56" t="s">
        <v>177</v>
      </c>
      <c r="K15" s="56" t="s">
        <v>178</v>
      </c>
      <c r="L15" s="56" t="s">
        <v>104</v>
      </c>
      <c r="M15" s="56" t="s">
        <v>105</v>
      </c>
      <c r="N15" s="56">
        <v>51.504300000000001</v>
      </c>
      <c r="O15" s="56">
        <v>-0.106125</v>
      </c>
      <c r="P15" s="56" t="s">
        <v>179</v>
      </c>
      <c r="Q15" s="56">
        <v>1</v>
      </c>
      <c r="R15" s="56" t="s">
        <v>107</v>
      </c>
      <c r="S15" s="58" t="s">
        <v>108</v>
      </c>
    </row>
    <row r="16" spans="1:19" ht="15.75" x14ac:dyDescent="0.25">
      <c r="A16" s="55" t="s">
        <v>95</v>
      </c>
      <c r="B16" s="56" t="s">
        <v>180</v>
      </c>
      <c r="C16" s="56" t="s">
        <v>181</v>
      </c>
      <c r="D16" s="56" t="s">
        <v>182</v>
      </c>
      <c r="E16" s="56" t="s">
        <v>99</v>
      </c>
      <c r="F16" s="56" t="s">
        <v>100</v>
      </c>
      <c r="G16" s="56" t="s">
        <v>140</v>
      </c>
      <c r="H16" s="57">
        <v>46188</v>
      </c>
      <c r="I16" s="57">
        <v>46215</v>
      </c>
      <c r="J16" s="56" t="s">
        <v>183</v>
      </c>
      <c r="K16" s="56" t="s">
        <v>184</v>
      </c>
      <c r="L16" s="56" t="s">
        <v>104</v>
      </c>
      <c r="M16" s="56" t="s">
        <v>105</v>
      </c>
      <c r="N16" s="56">
        <v>51.488199999999999</v>
      </c>
      <c r="O16" s="56">
        <v>-1.0604000000000001E-2</v>
      </c>
      <c r="P16" s="56" t="s">
        <v>185</v>
      </c>
      <c r="Q16" s="56">
        <v>1</v>
      </c>
      <c r="R16" s="56" t="s">
        <v>107</v>
      </c>
      <c r="S16" s="58" t="s">
        <v>108</v>
      </c>
    </row>
    <row r="17" spans="1:19" ht="15.75" x14ac:dyDescent="0.25">
      <c r="A17" s="55" t="s">
        <v>95</v>
      </c>
      <c r="B17" s="56" t="s">
        <v>109</v>
      </c>
      <c r="C17" s="56" t="s">
        <v>149</v>
      </c>
      <c r="D17" s="56" t="s">
        <v>186</v>
      </c>
      <c r="E17" s="56" t="s">
        <v>99</v>
      </c>
      <c r="F17" s="56" t="s">
        <v>100</v>
      </c>
      <c r="G17" s="56" t="s">
        <v>140</v>
      </c>
      <c r="H17" s="57">
        <v>46188</v>
      </c>
      <c r="I17" s="57">
        <v>46215</v>
      </c>
      <c r="J17" s="56" t="s">
        <v>187</v>
      </c>
      <c r="K17" s="56" t="s">
        <v>188</v>
      </c>
      <c r="L17" s="56" t="s">
        <v>104</v>
      </c>
      <c r="M17" s="56" t="s">
        <v>105</v>
      </c>
      <c r="N17" s="56">
        <v>51.556699999999999</v>
      </c>
      <c r="O17" s="56">
        <v>-0.17840900000000001</v>
      </c>
      <c r="P17" s="56" t="s">
        <v>189</v>
      </c>
      <c r="Q17" s="56">
        <v>1</v>
      </c>
      <c r="R17" s="56" t="s">
        <v>107</v>
      </c>
      <c r="S17" s="58" t="s">
        <v>108</v>
      </c>
    </row>
    <row r="18" spans="1:19" ht="15.75" x14ac:dyDescent="0.25">
      <c r="A18" s="55" t="s">
        <v>95</v>
      </c>
      <c r="B18" s="56" t="s">
        <v>144</v>
      </c>
      <c r="C18" s="56" t="s">
        <v>97</v>
      </c>
      <c r="D18" s="56" t="s">
        <v>190</v>
      </c>
      <c r="E18" s="56" t="s">
        <v>99</v>
      </c>
      <c r="F18" s="56" t="s">
        <v>100</v>
      </c>
      <c r="G18" s="56" t="s">
        <v>140</v>
      </c>
      <c r="H18" s="57">
        <v>46188</v>
      </c>
      <c r="I18" s="57">
        <v>46215</v>
      </c>
      <c r="J18" s="56" t="s">
        <v>191</v>
      </c>
      <c r="K18" s="56" t="s">
        <v>192</v>
      </c>
      <c r="L18" s="56" t="s">
        <v>104</v>
      </c>
      <c r="M18" s="56" t="s">
        <v>105</v>
      </c>
      <c r="N18" s="56">
        <v>51.418300000000002</v>
      </c>
      <c r="O18" s="56">
        <v>-0.17810999999999999</v>
      </c>
      <c r="P18" s="56" t="s">
        <v>193</v>
      </c>
      <c r="Q18" s="56">
        <v>1</v>
      </c>
      <c r="R18" s="56" t="s">
        <v>107</v>
      </c>
      <c r="S18" s="58" t="s">
        <v>108</v>
      </c>
    </row>
    <row r="19" spans="1:19" ht="15.75" x14ac:dyDescent="0.25">
      <c r="A19" s="55" t="s">
        <v>95</v>
      </c>
      <c r="B19" s="56" t="s">
        <v>194</v>
      </c>
      <c r="C19" s="56" t="s">
        <v>195</v>
      </c>
      <c r="D19" s="56" t="s">
        <v>196</v>
      </c>
      <c r="E19" s="56" t="s">
        <v>99</v>
      </c>
      <c r="F19" s="56" t="s">
        <v>100</v>
      </c>
      <c r="G19" s="56" t="s">
        <v>101</v>
      </c>
      <c r="H19" s="57">
        <v>46188</v>
      </c>
      <c r="I19" s="57">
        <v>46215</v>
      </c>
      <c r="J19" s="56" t="s">
        <v>197</v>
      </c>
      <c r="K19" s="56" t="s">
        <v>198</v>
      </c>
      <c r="L19" s="56" t="s">
        <v>104</v>
      </c>
      <c r="M19" s="56" t="s">
        <v>105</v>
      </c>
      <c r="N19" s="56">
        <v>51.515300000000003</v>
      </c>
      <c r="O19" s="56">
        <v>-9.9707799999999999E-2</v>
      </c>
      <c r="P19" s="56" t="s">
        <v>199</v>
      </c>
      <c r="Q19" s="56">
        <v>1</v>
      </c>
      <c r="R19" s="56" t="s">
        <v>107</v>
      </c>
      <c r="S19" s="58" t="s">
        <v>108</v>
      </c>
    </row>
    <row r="20" spans="1:19" ht="15.75" x14ac:dyDescent="0.25">
      <c r="A20" s="55" t="s">
        <v>95</v>
      </c>
      <c r="B20" s="56" t="s">
        <v>144</v>
      </c>
      <c r="C20" s="56" t="s">
        <v>200</v>
      </c>
      <c r="D20" s="56" t="s">
        <v>201</v>
      </c>
      <c r="E20" s="56" t="s">
        <v>99</v>
      </c>
      <c r="F20" s="56" t="s">
        <v>100</v>
      </c>
      <c r="G20" s="56" t="s">
        <v>140</v>
      </c>
      <c r="H20" s="57">
        <v>46188</v>
      </c>
      <c r="I20" s="57">
        <v>46215</v>
      </c>
      <c r="J20" s="56" t="s">
        <v>202</v>
      </c>
      <c r="K20" s="56" t="s">
        <v>203</v>
      </c>
      <c r="L20" s="56" t="s">
        <v>104</v>
      </c>
      <c r="M20" s="56" t="s">
        <v>105</v>
      </c>
      <c r="N20" s="56">
        <v>51.557099999999998</v>
      </c>
      <c r="O20" s="56">
        <v>-0.138461</v>
      </c>
      <c r="P20" s="56" t="s">
        <v>204</v>
      </c>
      <c r="Q20" s="56">
        <v>1</v>
      </c>
      <c r="R20" s="56" t="s">
        <v>107</v>
      </c>
      <c r="S20" s="58" t="s">
        <v>108</v>
      </c>
    </row>
    <row r="21" spans="1:19" ht="15.75" x14ac:dyDescent="0.25">
      <c r="A21" s="55" t="s">
        <v>95</v>
      </c>
      <c r="B21" s="56" t="s">
        <v>205</v>
      </c>
      <c r="C21" s="56" t="s">
        <v>175</v>
      </c>
      <c r="D21" s="56" t="s">
        <v>206</v>
      </c>
      <c r="E21" s="56" t="s">
        <v>99</v>
      </c>
      <c r="F21" s="56" t="s">
        <v>100</v>
      </c>
      <c r="G21" s="56" t="s">
        <v>101</v>
      </c>
      <c r="H21" s="57">
        <v>46188</v>
      </c>
      <c r="I21" s="57">
        <v>46215</v>
      </c>
      <c r="J21" s="56" t="s">
        <v>207</v>
      </c>
      <c r="K21" s="56" t="s">
        <v>208</v>
      </c>
      <c r="L21" s="56" t="s">
        <v>104</v>
      </c>
      <c r="M21" s="56" t="s">
        <v>105</v>
      </c>
      <c r="N21" s="56">
        <v>51.488399999999999</v>
      </c>
      <c r="O21" s="56">
        <v>-0.10624500000000001</v>
      </c>
      <c r="P21" s="56" t="s">
        <v>209</v>
      </c>
      <c r="Q21" s="56">
        <v>1</v>
      </c>
      <c r="R21" s="56" t="s">
        <v>107</v>
      </c>
      <c r="S21" s="58" t="s">
        <v>108</v>
      </c>
    </row>
    <row r="22" spans="1:19" ht="15.75" x14ac:dyDescent="0.25">
      <c r="A22" s="55" t="s">
        <v>95</v>
      </c>
      <c r="B22" s="56" t="s">
        <v>210</v>
      </c>
      <c r="C22" s="56" t="s">
        <v>211</v>
      </c>
      <c r="D22" s="56" t="s">
        <v>212</v>
      </c>
      <c r="E22" s="56" t="s">
        <v>99</v>
      </c>
      <c r="F22" s="56" t="s">
        <v>100</v>
      </c>
      <c r="G22" s="56" t="s">
        <v>140</v>
      </c>
      <c r="H22" s="57">
        <v>46188</v>
      </c>
      <c r="I22" s="57">
        <v>46215</v>
      </c>
      <c r="J22" s="56" t="s">
        <v>213</v>
      </c>
      <c r="K22" s="56" t="s">
        <v>214</v>
      </c>
      <c r="L22" s="56" t="s">
        <v>104</v>
      </c>
      <c r="M22" s="56" t="s">
        <v>105</v>
      </c>
      <c r="N22" s="56">
        <v>51.576700000000002</v>
      </c>
      <c r="O22" s="56">
        <v>-0.39675300000000002</v>
      </c>
      <c r="P22" s="56" t="s">
        <v>215</v>
      </c>
      <c r="Q22" s="56">
        <v>1</v>
      </c>
      <c r="R22" s="56" t="s">
        <v>107</v>
      </c>
      <c r="S22" s="58" t="s">
        <v>108</v>
      </c>
    </row>
    <row r="23" spans="1:19" ht="15.75" x14ac:dyDescent="0.25">
      <c r="A23" s="55" t="s">
        <v>95</v>
      </c>
      <c r="B23" s="56" t="s">
        <v>109</v>
      </c>
      <c r="C23" s="56" t="s">
        <v>132</v>
      </c>
      <c r="D23" s="56" t="s">
        <v>216</v>
      </c>
      <c r="E23" s="56" t="s">
        <v>99</v>
      </c>
      <c r="F23" s="56" t="s">
        <v>100</v>
      </c>
      <c r="G23" s="56" t="s">
        <v>140</v>
      </c>
      <c r="H23" s="57">
        <v>46188</v>
      </c>
      <c r="I23" s="57">
        <v>46215</v>
      </c>
      <c r="J23" s="56" t="s">
        <v>217</v>
      </c>
      <c r="K23" s="56" t="s">
        <v>218</v>
      </c>
      <c r="L23" s="56" t="s">
        <v>104</v>
      </c>
      <c r="M23" s="56" t="s">
        <v>105</v>
      </c>
      <c r="N23" s="56">
        <v>51.466000000000001</v>
      </c>
      <c r="O23" s="56">
        <v>-0.12889999999999999</v>
      </c>
      <c r="P23" s="56" t="s">
        <v>219</v>
      </c>
      <c r="Q23" s="56">
        <v>1</v>
      </c>
      <c r="R23" s="56" t="s">
        <v>107</v>
      </c>
      <c r="S23" s="58" t="s">
        <v>108</v>
      </c>
    </row>
    <row r="24" spans="1:19" ht="15.75" x14ac:dyDescent="0.25">
      <c r="A24" s="55" t="s">
        <v>220</v>
      </c>
      <c r="B24" s="56" t="s">
        <v>221</v>
      </c>
      <c r="C24" s="56" t="s">
        <v>116</v>
      </c>
      <c r="D24" s="56" t="s">
        <v>222</v>
      </c>
      <c r="E24" s="56" t="s">
        <v>99</v>
      </c>
      <c r="F24" s="56" t="s">
        <v>100</v>
      </c>
      <c r="G24" s="56" t="s">
        <v>101</v>
      </c>
      <c r="H24" s="57">
        <v>46188</v>
      </c>
      <c r="I24" s="57">
        <v>46215</v>
      </c>
      <c r="J24" s="56" t="s">
        <v>223</v>
      </c>
      <c r="K24" s="56" t="s">
        <v>224</v>
      </c>
      <c r="L24" s="56" t="s">
        <v>104</v>
      </c>
      <c r="M24" s="56" t="s">
        <v>105</v>
      </c>
      <c r="N24" s="56">
        <v>51.514699999999998</v>
      </c>
      <c r="O24" s="56">
        <v>-0.14991399999999999</v>
      </c>
      <c r="P24" s="56" t="s">
        <v>225</v>
      </c>
      <c r="Q24" s="56">
        <v>1</v>
      </c>
      <c r="R24" s="56" t="s">
        <v>107</v>
      </c>
      <c r="S24" s="58" t="s">
        <v>108</v>
      </c>
    </row>
    <row r="25" spans="1:19" ht="15.75" x14ac:dyDescent="0.25">
      <c r="A25" s="55" t="s">
        <v>220</v>
      </c>
      <c r="B25" s="56" t="s">
        <v>226</v>
      </c>
      <c r="C25" s="56" t="s">
        <v>116</v>
      </c>
      <c r="D25" s="56" t="s">
        <v>227</v>
      </c>
      <c r="E25" s="56" t="s">
        <v>99</v>
      </c>
      <c r="F25" s="56" t="s">
        <v>100</v>
      </c>
      <c r="G25" s="56" t="s">
        <v>101</v>
      </c>
      <c r="H25" s="57">
        <v>46188</v>
      </c>
      <c r="I25" s="57">
        <v>46215</v>
      </c>
      <c r="J25" s="56" t="s">
        <v>228</v>
      </c>
      <c r="K25" s="56" t="s">
        <v>229</v>
      </c>
      <c r="L25" s="56" t="s">
        <v>104</v>
      </c>
      <c r="M25" s="56" t="s">
        <v>105</v>
      </c>
      <c r="N25" s="56">
        <v>51.506100000000004</v>
      </c>
      <c r="O25" s="56">
        <v>-0.139267</v>
      </c>
      <c r="P25" s="56" t="s">
        <v>230</v>
      </c>
      <c r="Q25" s="56">
        <v>1</v>
      </c>
      <c r="R25" s="56" t="s">
        <v>107</v>
      </c>
      <c r="S25" s="58" t="s">
        <v>108</v>
      </c>
    </row>
    <row r="26" spans="1:19" ht="15.75" x14ac:dyDescent="0.25">
      <c r="A26" s="55" t="s">
        <v>220</v>
      </c>
      <c r="B26" s="56" t="s">
        <v>231</v>
      </c>
      <c r="C26" s="56" t="s">
        <v>116</v>
      </c>
      <c r="D26" s="56" t="s">
        <v>232</v>
      </c>
      <c r="E26" s="56" t="s">
        <v>99</v>
      </c>
      <c r="F26" s="56" t="s">
        <v>100</v>
      </c>
      <c r="G26" s="56" t="s">
        <v>101</v>
      </c>
      <c r="H26" s="57">
        <v>46188</v>
      </c>
      <c r="I26" s="57">
        <v>46215</v>
      </c>
      <c r="J26" s="56" t="s">
        <v>233</v>
      </c>
      <c r="K26" s="56" t="s">
        <v>234</v>
      </c>
      <c r="L26" s="56" t="s">
        <v>104</v>
      </c>
      <c r="M26" s="56" t="s">
        <v>105</v>
      </c>
      <c r="N26" s="56">
        <v>51.523800000000001</v>
      </c>
      <c r="O26" s="56">
        <v>-0.15704099999999999</v>
      </c>
      <c r="P26" s="56" t="s">
        <v>235</v>
      </c>
      <c r="Q26" s="56">
        <v>1</v>
      </c>
      <c r="R26" s="56" t="s">
        <v>107</v>
      </c>
      <c r="S26" s="58" t="s">
        <v>108</v>
      </c>
    </row>
    <row r="27" spans="1:19" ht="15.75" x14ac:dyDescent="0.25">
      <c r="A27" s="55" t="s">
        <v>220</v>
      </c>
      <c r="B27" s="56" t="s">
        <v>236</v>
      </c>
      <c r="C27" s="56" t="s">
        <v>116</v>
      </c>
      <c r="D27" s="56" t="s">
        <v>237</v>
      </c>
      <c r="E27" s="56" t="s">
        <v>99</v>
      </c>
      <c r="F27" s="56" t="s">
        <v>100</v>
      </c>
      <c r="G27" s="56" t="s">
        <v>101</v>
      </c>
      <c r="H27" s="57">
        <v>46188</v>
      </c>
      <c r="I27" s="57">
        <v>46215</v>
      </c>
      <c r="J27" s="56" t="s">
        <v>238</v>
      </c>
      <c r="K27" s="56" t="s">
        <v>229</v>
      </c>
      <c r="L27" s="56" t="s">
        <v>104</v>
      </c>
      <c r="M27" s="56" t="s">
        <v>105</v>
      </c>
      <c r="N27" s="56">
        <v>51.5077</v>
      </c>
      <c r="O27" s="56">
        <v>-0.14038200000000001</v>
      </c>
      <c r="P27" s="56" t="s">
        <v>230</v>
      </c>
      <c r="Q27" s="56">
        <v>1</v>
      </c>
      <c r="R27" s="56" t="s">
        <v>107</v>
      </c>
      <c r="S27" s="58" t="s">
        <v>108</v>
      </c>
    </row>
    <row r="28" spans="1:19" ht="15.75" x14ac:dyDescent="0.25">
      <c r="A28" s="55" t="s">
        <v>220</v>
      </c>
      <c r="B28" s="56" t="s">
        <v>239</v>
      </c>
      <c r="C28" s="56" t="s">
        <v>116</v>
      </c>
      <c r="D28" s="56" t="s">
        <v>240</v>
      </c>
      <c r="E28" s="56" t="s">
        <v>99</v>
      </c>
      <c r="F28" s="56" t="s">
        <v>100</v>
      </c>
      <c r="G28" s="56" t="s">
        <v>101</v>
      </c>
      <c r="H28" s="57">
        <v>46188</v>
      </c>
      <c r="I28" s="57">
        <v>46215</v>
      </c>
      <c r="J28" s="56" t="s">
        <v>241</v>
      </c>
      <c r="K28" s="56" t="s">
        <v>234</v>
      </c>
      <c r="L28" s="56" t="s">
        <v>104</v>
      </c>
      <c r="M28" s="56" t="s">
        <v>105</v>
      </c>
      <c r="N28" s="56">
        <v>51.523299999999999</v>
      </c>
      <c r="O28" s="56">
        <v>-0.15723200000000001</v>
      </c>
      <c r="P28" s="56" t="s">
        <v>235</v>
      </c>
      <c r="Q28" s="56">
        <v>1</v>
      </c>
      <c r="R28" s="56" t="s">
        <v>107</v>
      </c>
      <c r="S28" s="58" t="s">
        <v>108</v>
      </c>
    </row>
    <row r="29" spans="1:19" ht="15.75" x14ac:dyDescent="0.25">
      <c r="A29" s="55" t="s">
        <v>220</v>
      </c>
      <c r="B29" s="56" t="s">
        <v>160</v>
      </c>
      <c r="C29" s="56" t="s">
        <v>116</v>
      </c>
      <c r="D29" s="56" t="s">
        <v>242</v>
      </c>
      <c r="E29" s="56" t="s">
        <v>99</v>
      </c>
      <c r="F29" s="56" t="s">
        <v>100</v>
      </c>
      <c r="G29" s="56" t="s">
        <v>101</v>
      </c>
      <c r="H29" s="57">
        <v>46188</v>
      </c>
      <c r="I29" s="57">
        <v>46215</v>
      </c>
      <c r="J29" s="56" t="s">
        <v>243</v>
      </c>
      <c r="K29" s="56" t="s">
        <v>229</v>
      </c>
      <c r="L29" s="56" t="s">
        <v>104</v>
      </c>
      <c r="M29" s="56" t="s">
        <v>105</v>
      </c>
      <c r="N29" s="56">
        <v>51.5062</v>
      </c>
      <c r="O29" s="56">
        <v>-0.141845</v>
      </c>
      <c r="P29" s="56" t="s">
        <v>230</v>
      </c>
      <c r="Q29" s="56">
        <v>1</v>
      </c>
      <c r="R29" s="56" t="s">
        <v>107</v>
      </c>
      <c r="S29" s="58" t="s">
        <v>108</v>
      </c>
    </row>
    <row r="30" spans="1:19" ht="15.75" x14ac:dyDescent="0.25">
      <c r="A30" s="55" t="s">
        <v>220</v>
      </c>
      <c r="B30" s="56" t="s">
        <v>244</v>
      </c>
      <c r="C30" s="56" t="s">
        <v>116</v>
      </c>
      <c r="D30" s="56" t="s">
        <v>245</v>
      </c>
      <c r="E30" s="56" t="s">
        <v>99</v>
      </c>
      <c r="F30" s="56" t="s">
        <v>100</v>
      </c>
      <c r="G30" s="56" t="s">
        <v>101</v>
      </c>
      <c r="H30" s="57">
        <v>46188</v>
      </c>
      <c r="I30" s="57">
        <v>46215</v>
      </c>
      <c r="J30" s="56" t="s">
        <v>246</v>
      </c>
      <c r="K30" s="56" t="s">
        <v>224</v>
      </c>
      <c r="L30" s="56" t="s">
        <v>104</v>
      </c>
      <c r="M30" s="56" t="s">
        <v>105</v>
      </c>
      <c r="N30" s="56">
        <v>51.514299999999999</v>
      </c>
      <c r="O30" s="56">
        <v>-0.14982799999999999</v>
      </c>
      <c r="P30" s="56" t="s">
        <v>225</v>
      </c>
      <c r="Q30" s="56">
        <v>1</v>
      </c>
      <c r="R30" s="56" t="s">
        <v>107</v>
      </c>
      <c r="S30" s="58" t="s">
        <v>108</v>
      </c>
    </row>
    <row r="31" spans="1:19" ht="15.75" x14ac:dyDescent="0.25">
      <c r="A31" s="55" t="s">
        <v>247</v>
      </c>
      <c r="B31" s="56" t="s">
        <v>109</v>
      </c>
      <c r="C31" s="56" t="s">
        <v>175</v>
      </c>
      <c r="D31" s="56" t="s">
        <v>248</v>
      </c>
      <c r="E31" s="56" t="s">
        <v>99</v>
      </c>
      <c r="F31" s="56" t="s">
        <v>100</v>
      </c>
      <c r="G31" s="56" t="s">
        <v>101</v>
      </c>
      <c r="H31" s="57">
        <v>46188</v>
      </c>
      <c r="I31" s="57">
        <v>46215</v>
      </c>
      <c r="J31" s="56" t="s">
        <v>249</v>
      </c>
      <c r="K31" s="56" t="s">
        <v>250</v>
      </c>
      <c r="L31" s="56" t="s">
        <v>104</v>
      </c>
      <c r="M31" s="56" t="s">
        <v>105</v>
      </c>
      <c r="N31" s="56">
        <v>51.506</v>
      </c>
      <c r="O31" s="56">
        <v>-8.8865600000000003E-2</v>
      </c>
      <c r="P31" s="56" t="s">
        <v>251</v>
      </c>
      <c r="Q31" s="56">
        <v>1</v>
      </c>
      <c r="R31" s="56" t="s">
        <v>107</v>
      </c>
      <c r="S31" s="58" t="s">
        <v>108</v>
      </c>
    </row>
    <row r="32" spans="1:19" ht="15.75" x14ac:dyDescent="0.25">
      <c r="A32" s="55" t="s">
        <v>247</v>
      </c>
      <c r="B32" s="56" t="s">
        <v>252</v>
      </c>
      <c r="C32" s="56" t="s">
        <v>149</v>
      </c>
      <c r="D32" s="56" t="s">
        <v>253</v>
      </c>
      <c r="E32" s="56" t="s">
        <v>99</v>
      </c>
      <c r="F32" s="56" t="s">
        <v>100</v>
      </c>
      <c r="G32" s="56" t="s">
        <v>101</v>
      </c>
      <c r="H32" s="57">
        <v>46188</v>
      </c>
      <c r="I32" s="57">
        <v>46215</v>
      </c>
      <c r="J32" s="56" t="s">
        <v>254</v>
      </c>
      <c r="K32" s="56" t="s">
        <v>255</v>
      </c>
      <c r="L32" s="56" t="s">
        <v>104</v>
      </c>
      <c r="M32" s="56" t="s">
        <v>105</v>
      </c>
      <c r="N32" s="56">
        <v>51.530700000000003</v>
      </c>
      <c r="O32" s="56">
        <v>-0.124226</v>
      </c>
      <c r="P32" s="56" t="s">
        <v>256</v>
      </c>
      <c r="Q32" s="56">
        <v>1</v>
      </c>
      <c r="R32" s="56" t="s">
        <v>107</v>
      </c>
      <c r="S32" s="58" t="s">
        <v>108</v>
      </c>
    </row>
    <row r="33" spans="1:19" ht="15.75" x14ac:dyDescent="0.25">
      <c r="A33" s="55" t="s">
        <v>247</v>
      </c>
      <c r="B33" s="56" t="s">
        <v>257</v>
      </c>
      <c r="C33" s="56" t="s">
        <v>149</v>
      </c>
      <c r="D33" s="56" t="s">
        <v>258</v>
      </c>
      <c r="E33" s="56" t="s">
        <v>99</v>
      </c>
      <c r="F33" s="56" t="s">
        <v>100</v>
      </c>
      <c r="G33" s="56" t="s">
        <v>101</v>
      </c>
      <c r="H33" s="57">
        <v>46188</v>
      </c>
      <c r="I33" s="57">
        <v>46215</v>
      </c>
      <c r="J33" s="56" t="s">
        <v>259</v>
      </c>
      <c r="K33" s="56" t="s">
        <v>255</v>
      </c>
      <c r="L33" s="56" t="s">
        <v>104</v>
      </c>
      <c r="M33" s="56" t="s">
        <v>105</v>
      </c>
      <c r="N33" s="56">
        <v>51.530900000000003</v>
      </c>
      <c r="O33" s="56">
        <v>-0.121616</v>
      </c>
      <c r="P33" s="56" t="s">
        <v>256</v>
      </c>
      <c r="Q33" s="56">
        <v>1</v>
      </c>
      <c r="R33" s="56" t="s">
        <v>107</v>
      </c>
      <c r="S33" s="58" t="s">
        <v>108</v>
      </c>
    </row>
    <row r="34" spans="1:19" ht="15.75" x14ac:dyDescent="0.25">
      <c r="A34" s="55" t="s">
        <v>247</v>
      </c>
      <c r="B34" s="56" t="s">
        <v>260</v>
      </c>
      <c r="C34" s="56" t="s">
        <v>195</v>
      </c>
      <c r="D34" s="56" t="s">
        <v>261</v>
      </c>
      <c r="E34" s="56" t="s">
        <v>99</v>
      </c>
      <c r="F34" s="56" t="s">
        <v>100</v>
      </c>
      <c r="G34" s="56" t="s">
        <v>101</v>
      </c>
      <c r="H34" s="57">
        <v>46188</v>
      </c>
      <c r="I34" s="57">
        <v>46215</v>
      </c>
      <c r="J34" s="56" t="s">
        <v>262</v>
      </c>
      <c r="K34" s="56" t="s">
        <v>263</v>
      </c>
      <c r="L34" s="56" t="s">
        <v>104</v>
      </c>
      <c r="M34" s="56" t="s">
        <v>105</v>
      </c>
      <c r="N34" s="56">
        <v>51.518300000000004</v>
      </c>
      <c r="O34" s="56">
        <v>-8.2155900000000004E-2</v>
      </c>
      <c r="P34" s="56" t="s">
        <v>264</v>
      </c>
      <c r="Q34" s="56">
        <v>1</v>
      </c>
      <c r="R34" s="56" t="s">
        <v>107</v>
      </c>
      <c r="S34" s="58" t="s">
        <v>108</v>
      </c>
    </row>
    <row r="35" spans="1:19" ht="15.75" x14ac:dyDescent="0.25">
      <c r="A35" s="55" t="s">
        <v>247</v>
      </c>
      <c r="B35" s="56" t="s">
        <v>144</v>
      </c>
      <c r="C35" s="56" t="s">
        <v>132</v>
      </c>
      <c r="D35" s="56" t="s">
        <v>265</v>
      </c>
      <c r="E35" s="56" t="s">
        <v>99</v>
      </c>
      <c r="F35" s="56" t="s">
        <v>100</v>
      </c>
      <c r="G35" s="56" t="s">
        <v>101</v>
      </c>
      <c r="H35" s="57">
        <v>46188</v>
      </c>
      <c r="I35" s="57">
        <v>46215</v>
      </c>
      <c r="J35" s="56" t="s">
        <v>266</v>
      </c>
      <c r="K35" s="56" t="s">
        <v>267</v>
      </c>
      <c r="L35" s="56" t="s">
        <v>104</v>
      </c>
      <c r="M35" s="56" t="s">
        <v>105</v>
      </c>
      <c r="N35" s="56">
        <v>51.503500000000003</v>
      </c>
      <c r="O35" s="56">
        <v>-0.114435</v>
      </c>
      <c r="P35" s="56" t="s">
        <v>268</v>
      </c>
      <c r="Q35" s="56">
        <v>1</v>
      </c>
      <c r="R35" s="56" t="s">
        <v>107</v>
      </c>
      <c r="S35" s="58" t="s">
        <v>108</v>
      </c>
    </row>
    <row r="36" spans="1:19" ht="15.75" x14ac:dyDescent="0.25">
      <c r="A36" s="55" t="s">
        <v>247</v>
      </c>
      <c r="B36" s="56" t="s">
        <v>269</v>
      </c>
      <c r="C36" s="56" t="s">
        <v>149</v>
      </c>
      <c r="D36" s="56" t="s">
        <v>270</v>
      </c>
      <c r="E36" s="56" t="s">
        <v>99</v>
      </c>
      <c r="F36" s="56" t="s">
        <v>100</v>
      </c>
      <c r="G36" s="56" t="s">
        <v>101</v>
      </c>
      <c r="H36" s="57">
        <v>46188</v>
      </c>
      <c r="I36" s="57">
        <v>46215</v>
      </c>
      <c r="J36" s="56" t="s">
        <v>271</v>
      </c>
      <c r="K36" s="56" t="s">
        <v>255</v>
      </c>
      <c r="L36" s="56" t="s">
        <v>104</v>
      </c>
      <c r="M36" s="56" t="s">
        <v>105</v>
      </c>
      <c r="N36" s="56">
        <v>51.531300000000002</v>
      </c>
      <c r="O36" s="56">
        <v>-0.123239</v>
      </c>
      <c r="P36" s="56" t="s">
        <v>256</v>
      </c>
      <c r="Q36" s="56">
        <v>1</v>
      </c>
      <c r="R36" s="56" t="s">
        <v>107</v>
      </c>
      <c r="S36" s="58" t="s">
        <v>108</v>
      </c>
    </row>
    <row r="37" spans="1:19" ht="15.75" x14ac:dyDescent="0.25">
      <c r="A37" s="55" t="s">
        <v>247</v>
      </c>
      <c r="B37" s="56" t="s">
        <v>272</v>
      </c>
      <c r="C37" s="56" t="s">
        <v>132</v>
      </c>
      <c r="D37" s="56" t="s">
        <v>273</v>
      </c>
      <c r="E37" s="56" t="s">
        <v>99</v>
      </c>
      <c r="F37" s="56" t="s">
        <v>100</v>
      </c>
      <c r="G37" s="56" t="s">
        <v>140</v>
      </c>
      <c r="H37" s="57">
        <v>46188</v>
      </c>
      <c r="I37" s="57">
        <v>46215</v>
      </c>
      <c r="J37" s="56" t="s">
        <v>274</v>
      </c>
      <c r="K37" s="56" t="s">
        <v>267</v>
      </c>
      <c r="L37" s="56" t="s">
        <v>104</v>
      </c>
      <c r="M37" s="56" t="s">
        <v>105</v>
      </c>
      <c r="N37" s="56">
        <v>51.503399999999999</v>
      </c>
      <c r="O37" s="56">
        <v>-0.115039</v>
      </c>
      <c r="P37" s="56" t="s">
        <v>268</v>
      </c>
      <c r="Q37" s="56">
        <v>1</v>
      </c>
      <c r="R37" s="56" t="s">
        <v>107</v>
      </c>
      <c r="S37" s="58" t="s">
        <v>108</v>
      </c>
    </row>
    <row r="38" spans="1:19" ht="15.75" x14ac:dyDescent="0.25">
      <c r="A38" s="55" t="s">
        <v>247</v>
      </c>
      <c r="B38" s="56" t="s">
        <v>275</v>
      </c>
      <c r="C38" s="56" t="s">
        <v>175</v>
      </c>
      <c r="D38" s="56" t="s">
        <v>276</v>
      </c>
      <c r="E38" s="56" t="s">
        <v>99</v>
      </c>
      <c r="F38" s="56" t="s">
        <v>100</v>
      </c>
      <c r="G38" s="56" t="s">
        <v>101</v>
      </c>
      <c r="H38" s="57">
        <v>46188</v>
      </c>
      <c r="I38" s="57">
        <v>46215</v>
      </c>
      <c r="J38" s="56" t="s">
        <v>277</v>
      </c>
      <c r="K38" s="56" t="s">
        <v>250</v>
      </c>
      <c r="L38" s="56" t="s">
        <v>104</v>
      </c>
      <c r="M38" s="56" t="s">
        <v>105</v>
      </c>
      <c r="N38" s="56">
        <v>51.504899999999999</v>
      </c>
      <c r="O38" s="56">
        <v>-8.8323600000000002E-2</v>
      </c>
      <c r="P38" s="56" t="s">
        <v>251</v>
      </c>
      <c r="Q38" s="56">
        <v>1</v>
      </c>
      <c r="R38" s="56" t="s">
        <v>107</v>
      </c>
      <c r="S38" s="58" t="s">
        <v>108</v>
      </c>
    </row>
    <row r="39" spans="1:19" ht="15.75" x14ac:dyDescent="0.25">
      <c r="A39" s="55" t="s">
        <v>247</v>
      </c>
      <c r="B39" s="56" t="s">
        <v>278</v>
      </c>
      <c r="C39" s="56" t="s">
        <v>132</v>
      </c>
      <c r="D39" s="56" t="s">
        <v>279</v>
      </c>
      <c r="E39" s="56" t="s">
        <v>99</v>
      </c>
      <c r="F39" s="56" t="s">
        <v>100</v>
      </c>
      <c r="G39" s="56" t="s">
        <v>101</v>
      </c>
      <c r="H39" s="57">
        <v>46188</v>
      </c>
      <c r="I39" s="57">
        <v>46215</v>
      </c>
      <c r="J39" s="56" t="s">
        <v>280</v>
      </c>
      <c r="K39" s="56" t="s">
        <v>267</v>
      </c>
      <c r="L39" s="56" t="s">
        <v>104</v>
      </c>
      <c r="M39" s="56" t="s">
        <v>105</v>
      </c>
      <c r="N39" s="56">
        <v>51.503500000000003</v>
      </c>
      <c r="O39" s="56">
        <v>-0.11150599999999999</v>
      </c>
      <c r="P39" s="56" t="s">
        <v>268</v>
      </c>
      <c r="Q39" s="56">
        <v>1</v>
      </c>
      <c r="R39" s="56" t="s">
        <v>107</v>
      </c>
      <c r="S39" s="58" t="s">
        <v>108</v>
      </c>
    </row>
    <row r="40" spans="1:19" ht="15.75" x14ac:dyDescent="0.25">
      <c r="A40" s="55" t="s">
        <v>247</v>
      </c>
      <c r="B40" s="56" t="s">
        <v>281</v>
      </c>
      <c r="C40" s="56" t="s">
        <v>149</v>
      </c>
      <c r="D40" s="56" t="s">
        <v>282</v>
      </c>
      <c r="E40" s="56" t="s">
        <v>99</v>
      </c>
      <c r="F40" s="56" t="s">
        <v>100</v>
      </c>
      <c r="G40" s="56" t="s">
        <v>101</v>
      </c>
      <c r="H40" s="57">
        <v>46188</v>
      </c>
      <c r="I40" s="57">
        <v>46215</v>
      </c>
      <c r="J40" s="56" t="s">
        <v>283</v>
      </c>
      <c r="K40" s="56" t="s">
        <v>255</v>
      </c>
      <c r="L40" s="56" t="s">
        <v>104</v>
      </c>
      <c r="M40" s="56" t="s">
        <v>105</v>
      </c>
      <c r="N40" s="56">
        <v>51.529800000000002</v>
      </c>
      <c r="O40" s="56">
        <v>-0.125079</v>
      </c>
      <c r="P40" s="56" t="s">
        <v>256</v>
      </c>
      <c r="Q40" s="56">
        <v>1</v>
      </c>
      <c r="R40" s="56" t="s">
        <v>107</v>
      </c>
      <c r="S40" s="58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8DD1-ECC7-4EFE-B4CB-0FF612FAFEA0}">
  <dimension ref="A1:G41"/>
  <sheetViews>
    <sheetView showGridLines="0" tabSelected="1" workbookViewId="0">
      <selection activeCell="F9" sqref="F9"/>
    </sheetView>
  </sheetViews>
  <sheetFormatPr defaultColWidth="10.625" defaultRowHeight="15.75" x14ac:dyDescent="0.25"/>
  <cols>
    <col min="1" max="1" width="13.875" bestFit="1" customWidth="1"/>
    <col min="2" max="2" width="25.125" bestFit="1" customWidth="1"/>
    <col min="3" max="3" width="18.375" bestFit="1" customWidth="1"/>
    <col min="4" max="4" width="60.875" bestFit="1" customWidth="1"/>
    <col min="5" max="5" width="14.375" bestFit="1" customWidth="1"/>
    <col min="6" max="6" width="44.375" bestFit="1" customWidth="1"/>
  </cols>
  <sheetData>
    <row r="1" spans="1:7" x14ac:dyDescent="0.25">
      <c r="A1" s="78" t="s">
        <v>284</v>
      </c>
      <c r="B1" s="78" t="s">
        <v>91</v>
      </c>
      <c r="C1" s="78" t="s">
        <v>80</v>
      </c>
      <c r="D1" s="78" t="s">
        <v>79</v>
      </c>
      <c r="E1" s="77" t="s">
        <v>86</v>
      </c>
    </row>
    <row r="2" spans="1:7" x14ac:dyDescent="0.25">
      <c r="A2" s="72" t="s">
        <v>285</v>
      </c>
      <c r="B2" s="72" t="s">
        <v>106</v>
      </c>
      <c r="C2" s="72" t="s">
        <v>97</v>
      </c>
      <c r="D2" s="71" t="s">
        <v>96</v>
      </c>
      <c r="E2" s="76" t="str" cm="1">
        <f t="array" ref="E2">_xlfn.XLOOKUP(B2&amp;"|"&amp;D2,'[1]Site List'!$P$2:$P$40&amp;"|"&amp;'[1]Site List'!$B$2:$B$40,'[1]Site List'!$J$2:$J$40,"")</f>
        <v>1234568488</v>
      </c>
      <c r="G2" s="75"/>
    </row>
    <row r="3" spans="1:7" ht="24" x14ac:dyDescent="0.25">
      <c r="A3" s="72" t="s">
        <v>285</v>
      </c>
      <c r="B3" s="72" t="s">
        <v>114</v>
      </c>
      <c r="C3" s="72" t="s">
        <v>110</v>
      </c>
      <c r="D3" s="71" t="s">
        <v>109</v>
      </c>
      <c r="E3" s="70" t="str" cm="1">
        <f t="array" ref="E3">_xlfn.XLOOKUP(B3&amp;"|"&amp;D3,'[1]Site List'!$P$2:$P$40&amp;"|"&amp;'[1]Site List'!$B$2:$B$40,'[1]Site List'!$J$2:$J$40,"")</f>
        <v>1234569067</v>
      </c>
      <c r="G3" s="67" t="s">
        <v>286</v>
      </c>
    </row>
    <row r="4" spans="1:7" ht="18" x14ac:dyDescent="0.25">
      <c r="A4" s="72" t="s">
        <v>292</v>
      </c>
      <c r="B4" s="72" t="s">
        <v>120</v>
      </c>
      <c r="C4" s="72" t="s">
        <v>116</v>
      </c>
      <c r="D4" s="71" t="s">
        <v>115</v>
      </c>
      <c r="E4" s="70" t="str" cm="1">
        <f t="array" ref="E4">_xlfn.XLOOKUP(B4&amp;"|"&amp;D4,'[1]Site List'!$P$2:$P$40&amp;"|"&amp;'[1]Site List'!$B$2:$B$40,'[1]Site List'!$J$2:$J$40,"")</f>
        <v>1234587817</v>
      </c>
      <c r="G4" s="68" t="s">
        <v>287</v>
      </c>
    </row>
    <row r="5" spans="1:7" x14ac:dyDescent="0.25">
      <c r="A5" s="72" t="s">
        <v>292</v>
      </c>
      <c r="B5" s="72" t="s">
        <v>126</v>
      </c>
      <c r="C5" s="72" t="s">
        <v>288</v>
      </c>
      <c r="D5" s="71" t="s">
        <v>121</v>
      </c>
      <c r="E5" s="70" t="str" cm="1">
        <f t="array" ref="E5">_xlfn.XLOOKUP(B5&amp;"|"&amp;D5,'[1]Site List'!$P$2:$P$40&amp;"|"&amp;'[1]Site List'!$B$2:$B$40,'[1]Site List'!$J$2:$J$40,"")</f>
        <v>1234600409</v>
      </c>
      <c r="G5" t="s">
        <v>289</v>
      </c>
    </row>
    <row r="6" spans="1:7" ht="18" x14ac:dyDescent="0.25">
      <c r="A6" s="72" t="s">
        <v>292</v>
      </c>
      <c r="B6" s="72" t="s">
        <v>131</v>
      </c>
      <c r="C6" s="72" t="s">
        <v>116</v>
      </c>
      <c r="D6" s="71" t="s">
        <v>127</v>
      </c>
      <c r="E6" s="70" t="str" cm="1">
        <f t="array" ref="E6">_xlfn.XLOOKUP(B6&amp;"|"&amp;D6,'[1]Site List'!$P$2:$P$40&amp;"|"&amp;'[1]Site List'!$B$2:$B$40,'[1]Site List'!$J$2:$J$40,"")</f>
        <v>1234568346</v>
      </c>
      <c r="G6" s="68" t="s">
        <v>290</v>
      </c>
    </row>
    <row r="7" spans="1:7" x14ac:dyDescent="0.25">
      <c r="A7" s="72" t="s">
        <v>285</v>
      </c>
      <c r="B7" s="72" t="s">
        <v>136</v>
      </c>
      <c r="C7" s="72" t="s">
        <v>132</v>
      </c>
      <c r="D7" s="71" t="s">
        <v>109</v>
      </c>
      <c r="E7" s="70" t="str" cm="1">
        <f t="array" ref="E7">_xlfn.XLOOKUP(B7&amp;"|"&amp;D7,'[1]Site List'!$P$2:$P$40&amp;"|"&amp;'[1]Site List'!$B$2:$B$40,'[1]Site List'!$J$2:$J$40,"")</f>
        <v>2000202916</v>
      </c>
      <c r="G7" t="s">
        <v>291</v>
      </c>
    </row>
    <row r="8" spans="1:7" x14ac:dyDescent="0.25">
      <c r="A8" s="72" t="s">
        <v>292</v>
      </c>
      <c r="B8" s="72" t="s">
        <v>143</v>
      </c>
      <c r="C8" s="72" t="s">
        <v>138</v>
      </c>
      <c r="D8" s="71" t="s">
        <v>137</v>
      </c>
      <c r="E8" s="70" t="str" cm="1">
        <f t="array" ref="E8">_xlfn.XLOOKUP(B8&amp;"|"&amp;D8,'[1]Site List'!$P$2:$P$40&amp;"|"&amp;'[1]Site List'!$B$2:$B$40,'[1]Site List'!$J$2:$J$40,"")</f>
        <v>1234595301</v>
      </c>
    </row>
    <row r="9" spans="1:7" x14ac:dyDescent="0.25">
      <c r="A9" s="72" t="s">
        <v>292</v>
      </c>
      <c r="B9" s="72" t="s">
        <v>148</v>
      </c>
      <c r="C9" s="72" t="s">
        <v>132</v>
      </c>
      <c r="D9" s="71" t="s">
        <v>144</v>
      </c>
      <c r="E9" s="70" t="str" cm="1">
        <f t="array" ref="E9">_xlfn.XLOOKUP(B9&amp;"|"&amp;D9,'[1]Site List'!$P$2:$P$40&amp;"|"&amp;'[1]Site List'!$B$2:$B$40,'[1]Site List'!$J$2:$J$40,"")</f>
        <v>1234574586</v>
      </c>
      <c r="G9" t="s">
        <v>293</v>
      </c>
    </row>
    <row r="10" spans="1:7" x14ac:dyDescent="0.25">
      <c r="A10" s="72" t="s">
        <v>292</v>
      </c>
      <c r="B10" s="72" t="s">
        <v>153</v>
      </c>
      <c r="C10" s="72" t="s">
        <v>149</v>
      </c>
      <c r="D10" s="71" t="s">
        <v>115</v>
      </c>
      <c r="E10" s="70" t="str" cm="1">
        <f t="array" ref="E10">_xlfn.XLOOKUP(B10&amp;"|"&amp;D10,'[1]Site List'!$P$2:$P$40&amp;"|"&amp;'[1]Site List'!$B$2:$B$40,'[1]Site List'!$J$2:$J$40,"")</f>
        <v>1234601019</v>
      </c>
      <c r="G10" t="s">
        <v>294</v>
      </c>
    </row>
    <row r="11" spans="1:7" x14ac:dyDescent="0.25">
      <c r="A11" s="72" t="s">
        <v>285</v>
      </c>
      <c r="B11" s="72" t="s">
        <v>159</v>
      </c>
      <c r="C11" s="72" t="s">
        <v>155</v>
      </c>
      <c r="D11" s="71" t="s">
        <v>154</v>
      </c>
      <c r="E11" s="70" t="str" cm="1">
        <f t="array" ref="E11">_xlfn.XLOOKUP(B11&amp;"|"&amp;D11,'[1]Site List'!$P$2:$P$40&amp;"|"&amp;'[1]Site List'!$B$2:$B$40,'[1]Site List'!$J$2:$J$40,"")</f>
        <v>1234572113</v>
      </c>
      <c r="G11" t="s">
        <v>295</v>
      </c>
    </row>
    <row r="12" spans="1:7" x14ac:dyDescent="0.25">
      <c r="A12" s="72" t="s">
        <v>285</v>
      </c>
      <c r="B12" s="72" t="s">
        <v>164</v>
      </c>
      <c r="C12" s="72" t="s">
        <v>132</v>
      </c>
      <c r="D12" s="71" t="s">
        <v>160</v>
      </c>
      <c r="E12" s="70" t="str" cm="1">
        <f t="array" ref="E12">_xlfn.XLOOKUP(B12&amp;"|"&amp;D12,'[1]Site List'!$P$2:$P$40&amp;"|"&amp;'[1]Site List'!$B$2:$B$40,'[1]Site List'!$J$2:$J$40,"")</f>
        <v>1234597806</v>
      </c>
    </row>
    <row r="13" spans="1:7" x14ac:dyDescent="0.25">
      <c r="A13" s="72" t="s">
        <v>292</v>
      </c>
      <c r="B13" s="72" t="s">
        <v>168</v>
      </c>
      <c r="C13" s="72" t="s">
        <v>110</v>
      </c>
      <c r="D13" s="71" t="s">
        <v>144</v>
      </c>
      <c r="E13" s="70" t="str" cm="1">
        <f t="array" ref="E13">_xlfn.XLOOKUP(B13&amp;"|"&amp;D13,'[1]Site List'!$P$2:$P$40&amp;"|"&amp;'[1]Site List'!$B$2:$B$40,'[1]Site List'!$J$2:$J$40,"")</f>
        <v>1234568933</v>
      </c>
    </row>
    <row r="14" spans="1:7" x14ac:dyDescent="0.25">
      <c r="A14" s="72" t="s">
        <v>292</v>
      </c>
      <c r="B14" s="72" t="s">
        <v>173</v>
      </c>
      <c r="C14" s="72" t="s">
        <v>288</v>
      </c>
      <c r="D14" s="71" t="s">
        <v>169</v>
      </c>
      <c r="E14" s="70" t="str" cm="1">
        <f t="array" ref="E14">_xlfn.XLOOKUP(B14&amp;"|"&amp;D14,'[1]Site List'!$P$2:$P$40&amp;"|"&amp;'[1]Site List'!$B$2:$B$40,'[1]Site List'!$J$2:$J$40,"")</f>
        <v>1234583810</v>
      </c>
    </row>
    <row r="15" spans="1:7" x14ac:dyDescent="0.25">
      <c r="A15" s="72" t="s">
        <v>285</v>
      </c>
      <c r="B15" s="72" t="s">
        <v>179</v>
      </c>
      <c r="C15" s="72" t="s">
        <v>175</v>
      </c>
      <c r="D15" s="71" t="s">
        <v>174</v>
      </c>
      <c r="E15" s="70" t="str" cm="1">
        <f t="array" ref="E15">_xlfn.XLOOKUP(B15&amp;"|"&amp;D15,'[1]Site List'!$P$2:$P$40&amp;"|"&amp;'[1]Site List'!$B$2:$B$40,'[1]Site List'!$J$2:$J$40,"")</f>
        <v>1234575760</v>
      </c>
    </row>
    <row r="16" spans="1:7" x14ac:dyDescent="0.25">
      <c r="A16" s="72" t="s">
        <v>285</v>
      </c>
      <c r="B16" s="72" t="s">
        <v>185</v>
      </c>
      <c r="C16" s="72" t="s">
        <v>181</v>
      </c>
      <c r="D16" s="71" t="s">
        <v>180</v>
      </c>
      <c r="E16" s="70" t="str" cm="1">
        <f t="array" ref="E16">_xlfn.XLOOKUP(B16&amp;"|"&amp;D16,'[1]Site List'!$P$2:$P$40&amp;"|"&amp;'[1]Site List'!$B$2:$B$40,'[1]Site List'!$J$2:$J$40,"")</f>
        <v>1234602396</v>
      </c>
    </row>
    <row r="17" spans="1:6" x14ac:dyDescent="0.25">
      <c r="A17" s="72" t="s">
        <v>292</v>
      </c>
      <c r="B17" s="72" t="s">
        <v>189</v>
      </c>
      <c r="C17" s="72" t="s">
        <v>149</v>
      </c>
      <c r="D17" s="71" t="s">
        <v>109</v>
      </c>
      <c r="E17" s="70" t="str" cm="1">
        <f t="array" ref="E17">_xlfn.XLOOKUP(B17&amp;"|"&amp;D17,'[1]Site List'!$P$2:$P$40&amp;"|"&amp;'[1]Site List'!$B$2:$B$40,'[1]Site List'!$J$2:$J$40,"")</f>
        <v>1234599926</v>
      </c>
    </row>
    <row r="18" spans="1:6" x14ac:dyDescent="0.25">
      <c r="A18" s="72" t="s">
        <v>285</v>
      </c>
      <c r="B18" s="72" t="s">
        <v>193</v>
      </c>
      <c r="C18" s="72" t="s">
        <v>97</v>
      </c>
      <c r="D18" s="71" t="s">
        <v>144</v>
      </c>
      <c r="E18" s="70" t="str" cm="1">
        <f t="array" ref="E18">_xlfn.XLOOKUP(B18&amp;"|"&amp;D18,'[1]Site List'!$P$2:$P$40&amp;"|"&amp;'[1]Site List'!$B$2:$B$40,'[1]Site List'!$J$2:$J$40,"")</f>
        <v>1234568710</v>
      </c>
    </row>
    <row r="19" spans="1:6" x14ac:dyDescent="0.25">
      <c r="A19" s="72" t="s">
        <v>285</v>
      </c>
      <c r="B19" s="72" t="s">
        <v>199</v>
      </c>
      <c r="C19" s="72" t="s">
        <v>195</v>
      </c>
      <c r="D19" s="71" t="s">
        <v>194</v>
      </c>
      <c r="E19" s="70" t="str" cm="1">
        <f t="array" ref="E19">_xlfn.XLOOKUP(B19&amp;"|"&amp;D19,'[1]Site List'!$P$2:$P$40&amp;"|"&amp;'[1]Site List'!$B$2:$B$40,'[1]Site List'!$J$2:$J$40,"")</f>
        <v>1234590601</v>
      </c>
    </row>
    <row r="20" spans="1:6" x14ac:dyDescent="0.25">
      <c r="A20" s="72" t="s">
        <v>285</v>
      </c>
      <c r="B20" s="72" t="s">
        <v>204</v>
      </c>
      <c r="C20" s="72" t="s">
        <v>200</v>
      </c>
      <c r="D20" s="71" t="s">
        <v>144</v>
      </c>
      <c r="E20" s="73" t="str" cm="1">
        <f t="array" ref="E20">_xlfn.XLOOKUP(B20&amp;"|"&amp;D20,'[1]Site List'!$P$2:$P$40&amp;"|"&amp;'[1]Site List'!$B$2:$B$40,'[1]Site List'!$J$2:$J$40,"")</f>
        <v>1234568811</v>
      </c>
    </row>
    <row r="21" spans="1:6" ht="31.5" x14ac:dyDescent="0.25">
      <c r="A21" s="72" t="s">
        <v>292</v>
      </c>
      <c r="B21" s="72" t="s">
        <v>209</v>
      </c>
      <c r="C21" s="72" t="s">
        <v>175</v>
      </c>
      <c r="D21" s="71" t="s">
        <v>205</v>
      </c>
      <c r="E21" s="70" t="str" cm="1">
        <f t="array" ref="E21">_xlfn.XLOOKUP(B21&amp;"|"&amp;D21,'[1]Site List'!$P$2:$P$40&amp;"|"&amp;'[1]Site List'!$B$2:$B$40,'[1]Site List'!$J$2:$J$40,"")</f>
        <v>1234588637</v>
      </c>
      <c r="F21" s="74"/>
    </row>
    <row r="22" spans="1:6" x14ac:dyDescent="0.25">
      <c r="A22" s="72" t="s">
        <v>292</v>
      </c>
      <c r="B22" s="72" t="s">
        <v>215</v>
      </c>
      <c r="C22" s="72" t="s">
        <v>211</v>
      </c>
      <c r="D22" s="71" t="s">
        <v>210</v>
      </c>
      <c r="E22" s="70" t="str" cm="1">
        <f t="array" ref="E22">_xlfn.XLOOKUP(B22&amp;"|"&amp;D22,'[1]Site List'!$P$2:$P$40&amp;"|"&amp;'[1]Site List'!$B$2:$B$40,'[1]Site List'!$J$2:$J$40,"")</f>
        <v>1234589177</v>
      </c>
      <c r="F22" s="74"/>
    </row>
    <row r="23" spans="1:6" x14ac:dyDescent="0.25">
      <c r="A23" s="72" t="s">
        <v>285</v>
      </c>
      <c r="B23" s="72" t="s">
        <v>219</v>
      </c>
      <c r="C23" s="72" t="s">
        <v>132</v>
      </c>
      <c r="D23" s="71" t="s">
        <v>109</v>
      </c>
      <c r="E23" s="70" t="str" cm="1">
        <f t="array" ref="E23">_xlfn.XLOOKUP(B23&amp;"|"&amp;D23,'[1]Site List'!$P$2:$P$40&amp;"|"&amp;'[1]Site List'!$B$2:$B$40,'[1]Site List'!$J$2:$J$40,"")</f>
        <v>1234588929</v>
      </c>
      <c r="F23" s="74"/>
    </row>
    <row r="24" spans="1:6" x14ac:dyDescent="0.25">
      <c r="A24" s="72" t="s">
        <v>292</v>
      </c>
      <c r="B24" s="72" t="s">
        <v>225</v>
      </c>
      <c r="C24" s="72" t="s">
        <v>116</v>
      </c>
      <c r="D24" s="71" t="s">
        <v>221</v>
      </c>
      <c r="E24" s="73" t="str" cm="1">
        <f t="array" ref="E24">_xlfn.XLOOKUP(B24&amp;"|"&amp;D24,'[1]Site List'!$P$2:$P$40&amp;"|"&amp;'[1]Site List'!$B$2:$B$40,'[1]Site List'!$J$2:$J$40,"")</f>
        <v>1234577772</v>
      </c>
      <c r="F24" s="74"/>
    </row>
    <row r="25" spans="1:6" x14ac:dyDescent="0.25">
      <c r="A25" s="72" t="s">
        <v>292</v>
      </c>
      <c r="B25" s="72" t="s">
        <v>230</v>
      </c>
      <c r="C25" s="72" t="s">
        <v>116</v>
      </c>
      <c r="D25" s="71" t="s">
        <v>226</v>
      </c>
      <c r="E25" s="73" t="str" cm="1">
        <f t="array" ref="E25">_xlfn.XLOOKUP(B25&amp;"|"&amp;D25,'[1]Site List'!$P$2:$P$40&amp;"|"&amp;'[1]Site List'!$B$2:$B$40,'[1]Site List'!$J$2:$J$40,"")</f>
        <v>1234600974</v>
      </c>
      <c r="F25" s="74"/>
    </row>
    <row r="26" spans="1:6" x14ac:dyDescent="0.25">
      <c r="A26" s="72" t="s">
        <v>285</v>
      </c>
      <c r="B26" s="72" t="s">
        <v>235</v>
      </c>
      <c r="C26" s="72" t="s">
        <v>116</v>
      </c>
      <c r="D26" s="71" t="s">
        <v>231</v>
      </c>
      <c r="E26" s="73" t="str" cm="1">
        <f t="array" ref="E26">_xlfn.XLOOKUP(B26&amp;"|"&amp;D26,'[1]Site List'!$P$2:$P$40&amp;"|"&amp;'[1]Site List'!$B$2:$B$40,'[1]Site List'!$J$2:$J$40,"")</f>
        <v>1234574394</v>
      </c>
    </row>
    <row r="27" spans="1:6" x14ac:dyDescent="0.25">
      <c r="A27" s="72" t="s">
        <v>285</v>
      </c>
      <c r="B27" s="72" t="s">
        <v>230</v>
      </c>
      <c r="C27" s="72" t="s">
        <v>116</v>
      </c>
      <c r="D27" s="71" t="s">
        <v>236</v>
      </c>
      <c r="E27" s="73" t="str" cm="1">
        <f t="array" ref="E27">_xlfn.XLOOKUP(B27&amp;"|"&amp;D27,'[1]Site List'!$P$2:$P$40&amp;"|"&amp;'[1]Site List'!$B$2:$B$40,'[1]Site List'!$J$2:$J$40,"")</f>
        <v>1234599324</v>
      </c>
    </row>
    <row r="28" spans="1:6" x14ac:dyDescent="0.25">
      <c r="A28" s="72" t="s">
        <v>292</v>
      </c>
      <c r="B28" s="72" t="s">
        <v>235</v>
      </c>
      <c r="C28" s="72" t="s">
        <v>116</v>
      </c>
      <c r="D28" s="71" t="s">
        <v>239</v>
      </c>
      <c r="E28" s="73" t="str" cm="1">
        <f t="array" ref="E28">_xlfn.XLOOKUP(B28&amp;"|"&amp;D28,'[1]Site List'!$P$2:$P$40&amp;"|"&amp;'[1]Site List'!$B$2:$B$40,'[1]Site List'!$J$2:$J$40,"")</f>
        <v>1234600067</v>
      </c>
    </row>
    <row r="29" spans="1:6" x14ac:dyDescent="0.25">
      <c r="A29" s="72" t="s">
        <v>285</v>
      </c>
      <c r="B29" s="72" t="s">
        <v>230</v>
      </c>
      <c r="C29" s="72" t="s">
        <v>116</v>
      </c>
      <c r="D29" s="71" t="s">
        <v>160</v>
      </c>
      <c r="E29" s="73" t="str" cm="1">
        <f t="array" ref="E29">_xlfn.XLOOKUP(B29&amp;"|"&amp;D29,'[1]Site List'!$P$2:$P$40&amp;"|"&amp;'[1]Site List'!$B$2:$B$40,'[1]Site List'!$J$2:$J$40,"")</f>
        <v>1234585617</v>
      </c>
    </row>
    <row r="30" spans="1:6" x14ac:dyDescent="0.25">
      <c r="A30" s="72" t="s">
        <v>285</v>
      </c>
      <c r="B30" s="72" t="s">
        <v>225</v>
      </c>
      <c r="C30" s="72" t="s">
        <v>116</v>
      </c>
      <c r="D30" s="71" t="s">
        <v>244</v>
      </c>
      <c r="E30" s="73" t="str" cm="1">
        <f t="array" ref="E30">_xlfn.XLOOKUP(B30&amp;"|"&amp;D30,'[1]Site List'!$P$2:$P$40&amp;"|"&amp;'[1]Site List'!$B$2:$B$40,'[1]Site List'!$J$2:$J$40,"")</f>
        <v>1234577756</v>
      </c>
    </row>
    <row r="31" spans="1:6" x14ac:dyDescent="0.25">
      <c r="A31" s="72" t="s">
        <v>285</v>
      </c>
      <c r="B31" s="72" t="s">
        <v>251</v>
      </c>
      <c r="C31" s="72" t="s">
        <v>175</v>
      </c>
      <c r="D31" s="71" t="s">
        <v>109</v>
      </c>
      <c r="E31" s="73" t="str" cm="1">
        <f t="array" ref="E31">_xlfn.XLOOKUP(B31&amp;"|"&amp;D31,'[1]Site List'!$P$2:$P$40&amp;"|"&amp;'[1]Site List'!$B$2:$B$40,'[1]Site List'!$J$2:$J$40,"")</f>
        <v>1234571996</v>
      </c>
    </row>
    <row r="32" spans="1:6" x14ac:dyDescent="0.25">
      <c r="A32" s="72" t="s">
        <v>292</v>
      </c>
      <c r="B32" s="72" t="s">
        <v>256</v>
      </c>
      <c r="C32" s="72" t="s">
        <v>149</v>
      </c>
      <c r="D32" s="71" t="s">
        <v>252</v>
      </c>
      <c r="E32" s="73" t="str" cm="1">
        <f t="array" ref="E32">_xlfn.XLOOKUP(B32&amp;"|"&amp;D32,'[1]Site List'!$P$2:$P$40&amp;"|"&amp;'[1]Site List'!$B$2:$B$40,'[1]Site List'!$J$2:$J$40,"")</f>
        <v>1234602575</v>
      </c>
    </row>
    <row r="33" spans="1:5" x14ac:dyDescent="0.25">
      <c r="A33" s="72" t="s">
        <v>285</v>
      </c>
      <c r="B33" s="72" t="s">
        <v>256</v>
      </c>
      <c r="C33" s="72" t="s">
        <v>149</v>
      </c>
      <c r="D33" s="71" t="s">
        <v>257</v>
      </c>
      <c r="E33" s="73" t="str" cm="1">
        <f t="array" ref="E33">_xlfn.XLOOKUP(B33&amp;"|"&amp;D33,'[1]Site List'!$P$2:$P$40&amp;"|"&amp;'[1]Site List'!$B$2:$B$40,'[1]Site List'!$J$2:$J$40,"")</f>
        <v>1234602085</v>
      </c>
    </row>
    <row r="34" spans="1:5" x14ac:dyDescent="0.25">
      <c r="A34" s="72" t="s">
        <v>292</v>
      </c>
      <c r="B34" s="72" t="s">
        <v>264</v>
      </c>
      <c r="C34" s="72" t="s">
        <v>195</v>
      </c>
      <c r="D34" s="71" t="s">
        <v>260</v>
      </c>
      <c r="E34" s="70" t="str" cm="1">
        <f t="array" ref="E34">_xlfn.XLOOKUP(B34&amp;"|"&amp;D34,'[1]Site List'!$P$2:$P$40&amp;"|"&amp;'[1]Site List'!$B$2:$B$40,'[1]Site List'!$J$2:$J$40,"")</f>
        <v>1234602248</v>
      </c>
    </row>
    <row r="35" spans="1:5" x14ac:dyDescent="0.25">
      <c r="A35" s="72" t="s">
        <v>292</v>
      </c>
      <c r="B35" s="72" t="s">
        <v>268</v>
      </c>
      <c r="C35" s="72" t="s">
        <v>132</v>
      </c>
      <c r="D35" s="71" t="s">
        <v>144</v>
      </c>
      <c r="E35" s="70" t="str" cm="1">
        <f t="array" ref="E35">_xlfn.XLOOKUP(B35&amp;"|"&amp;D35,'[1]Site List'!$P$2:$P$40&amp;"|"&amp;'[1]Site List'!$B$2:$B$40,'[1]Site List'!$J$2:$J$40,"")</f>
        <v>1234598633</v>
      </c>
    </row>
    <row r="36" spans="1:5" x14ac:dyDescent="0.25">
      <c r="A36" s="72" t="s">
        <v>292</v>
      </c>
      <c r="B36" s="72" t="s">
        <v>256</v>
      </c>
      <c r="C36" s="72" t="s">
        <v>149</v>
      </c>
      <c r="D36" s="71" t="s">
        <v>269</v>
      </c>
      <c r="E36" s="70" t="str" cm="1">
        <f t="array" ref="E36">_xlfn.XLOOKUP(B36&amp;"|"&amp;D36,'[1]Site List'!$P$2:$P$40&amp;"|"&amp;'[1]Site List'!$B$2:$B$40,'[1]Site List'!$J$2:$J$40,"")</f>
        <v>1234602140</v>
      </c>
    </row>
    <row r="37" spans="1:5" x14ac:dyDescent="0.25">
      <c r="A37" s="72" t="s">
        <v>285</v>
      </c>
      <c r="B37" s="72" t="s">
        <v>268</v>
      </c>
      <c r="C37" s="72" t="s">
        <v>132</v>
      </c>
      <c r="D37" s="71" t="s">
        <v>272</v>
      </c>
      <c r="E37" s="70" t="str" cm="1">
        <f t="array" ref="E37">_xlfn.XLOOKUP(B37&amp;"|"&amp;D37,'[1]Site List'!$P$2:$P$40&amp;"|"&amp;'[1]Site List'!$B$2:$B$40,'[1]Site List'!$J$2:$J$40,"")</f>
        <v>1234598745</v>
      </c>
    </row>
    <row r="38" spans="1:5" x14ac:dyDescent="0.25">
      <c r="A38" s="72" t="s">
        <v>292</v>
      </c>
      <c r="B38" s="72" t="s">
        <v>251</v>
      </c>
      <c r="C38" s="72" t="s">
        <v>175</v>
      </c>
      <c r="D38" s="71" t="s">
        <v>275</v>
      </c>
      <c r="E38" s="70" t="str" cm="1">
        <f t="array" ref="E38">_xlfn.XLOOKUP(B38&amp;"|"&amp;D38,'[1]Site List'!$P$2:$P$40&amp;"|"&amp;'[1]Site List'!$B$2:$B$40,'[1]Site List'!$J$2:$J$40,"")</f>
        <v>1234572013</v>
      </c>
    </row>
    <row r="39" spans="1:5" x14ac:dyDescent="0.25">
      <c r="A39" s="72" t="s">
        <v>292</v>
      </c>
      <c r="B39" s="72" t="s">
        <v>268</v>
      </c>
      <c r="C39" s="72" t="s">
        <v>132</v>
      </c>
      <c r="D39" s="71" t="s">
        <v>278</v>
      </c>
      <c r="E39" s="70" t="str" cm="1">
        <f t="array" ref="E39">_xlfn.XLOOKUP(B39&amp;"|"&amp;D39,'[1]Site List'!$P$2:$P$40&amp;"|"&amp;'[1]Site List'!$B$2:$B$40,'[1]Site List'!$J$2:$J$40,"")</f>
        <v>1234599721</v>
      </c>
    </row>
    <row r="40" spans="1:5" x14ac:dyDescent="0.25">
      <c r="A40" s="72" t="s">
        <v>285</v>
      </c>
      <c r="B40" s="72" t="s">
        <v>256</v>
      </c>
      <c r="C40" s="72" t="s">
        <v>149</v>
      </c>
      <c r="D40" s="71" t="s">
        <v>281</v>
      </c>
      <c r="E40" s="70" t="str" cm="1">
        <f t="array" ref="E40">_xlfn.XLOOKUP(B40&amp;"|"&amp;D40,'[1]Site List'!$P$2:$P$40&amp;"|"&amp;'[1]Site List'!$B$2:$B$40,'[1]Site List'!$J$2:$J$40,"")</f>
        <v>1234602067</v>
      </c>
    </row>
    <row r="41" spans="1:5" ht="21" x14ac:dyDescent="0.35">
      <c r="A41" s="69"/>
    </row>
  </sheetData>
  <autoFilter ref="A1:G41" xr:uid="{B1FBA666-4D32-E14F-A9E2-88FB0E8584CA}"/>
  <conditionalFormatting sqref="E2:E40">
    <cfRule type="expression" priority="1">
      <formula>$E2=""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2D8E66A545E41B1ABB94302CCD685" ma:contentTypeVersion="4" ma:contentTypeDescription="Create a new document." ma:contentTypeScope="" ma:versionID="9b7776f3bdd74d8845e1fab286551077">
  <xsd:schema xmlns:xsd="http://www.w3.org/2001/XMLSchema" xmlns:xs="http://www.w3.org/2001/XMLSchema" xmlns:p="http://schemas.microsoft.com/office/2006/metadata/properties" xmlns:ns2="5d738bb8-80b2-460d-b9a8-2482a8fe8e9d" targetNamespace="http://schemas.microsoft.com/office/2006/metadata/properties" ma:root="true" ma:fieldsID="4fd47907d88f681bae77b433d14a97e0" ns2:_="">
    <xsd:import namespace="5d738bb8-80b2-460d-b9a8-2482a8fe8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738bb8-80b2-460d-b9a8-2482a8fe8e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79B06D-EB16-4F5E-9F51-C66DC9184D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31AF0F-B827-45DD-911F-9CE9EB1516C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65B05AE-C7A7-42C9-8201-96E24A429B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738bb8-80b2-460d-b9a8-2482a8fe8e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aca75c4-00ff-4a85-b5b9-c73c4a4093fc}" enabled="0" method="" siteId="{1aca75c4-00ff-4a85-b5b9-c73c4a4093f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Media Plan</vt:lpstr>
      <vt:lpstr>Specs</vt:lpstr>
      <vt:lpstr>BOOKED - LU 48s Site List</vt:lpstr>
      <vt:lpstr>RECOMMENDED CREATIVE PLACEMENT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Marcus Herrington</dc:creator>
  <cp:keywords/>
  <dc:description/>
  <cp:lastModifiedBy>Vince Buyssens</cp:lastModifiedBy>
  <cp:revision/>
  <dcterms:created xsi:type="dcterms:W3CDTF">2026-02-03T17:54:57Z</dcterms:created>
  <dcterms:modified xsi:type="dcterms:W3CDTF">2026-05-21T15:10:56Z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2026-02-09T14:20:01Z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565b7a11-9d07-4435-9df7-416176794e0e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  <property fmtid="{D5CDD505-2E9C-101B-9397-08002B2CF9AE}" pid="10" name="ContentTypeId">
    <vt:lpwstr>0x0101001732D8E66A545E41B1ABB94302CCD685</vt:lpwstr>
  </property>
  <property fmtid="{D5CDD505-2E9C-101B-9397-08002B2CF9AE}" pid="11" name="MediaServiceImageTags">
    <vt:lpwstr/>
  </property>
</Properties>
</file>